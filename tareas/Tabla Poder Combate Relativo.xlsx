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240" yWindow="108" windowWidth="14808" windowHeight="8016"/>
  </bookViews>
  <sheets>
    <sheet name="Hoja1" sheetId="1" r:id="rId1"/>
    <sheet name="Hoja2" sheetId="2" r:id="rId2"/>
    <sheet name="Hoja3" sheetId="3" r:id="rId3"/>
  </sheets>
  <calcPr calcId="145621"/>
</workbook>
</file>

<file path=xl/calcChain.xml><?xml version="1.0" encoding="utf-8"?>
<calcChain xmlns="http://schemas.openxmlformats.org/spreadsheetml/2006/main">
  <c r="L104" i="1" l="1"/>
  <c r="L105" i="1"/>
  <c r="L103" i="1"/>
  <c r="L101" i="1"/>
  <c r="L99" i="1"/>
  <c r="L90" i="1"/>
  <c r="L91" i="1"/>
  <c r="L92" i="1"/>
  <c r="L93" i="1"/>
  <c r="L94" i="1"/>
  <c r="L95" i="1"/>
  <c r="L96" i="1"/>
  <c r="L97" i="1"/>
  <c r="L89"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41"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7" i="1"/>
  <c r="AG104" i="1"/>
  <c r="AG105" i="1"/>
  <c r="AG103" i="1"/>
  <c r="AG100" i="1"/>
  <c r="AG101" i="1"/>
  <c r="AH101" i="1" s="1"/>
  <c r="AG99" i="1"/>
  <c r="AG90" i="1"/>
  <c r="AG91" i="1"/>
  <c r="AH91" i="1" s="1"/>
  <c r="AG92" i="1"/>
  <c r="AG93" i="1"/>
  <c r="AG94" i="1"/>
  <c r="AG95" i="1"/>
  <c r="AH95" i="1" s="1"/>
  <c r="AG96" i="1"/>
  <c r="AG97" i="1"/>
  <c r="AG89" i="1"/>
  <c r="AG42" i="1"/>
  <c r="AH42" i="1" s="1"/>
  <c r="AG43" i="1"/>
  <c r="AG44" i="1"/>
  <c r="AG45" i="1"/>
  <c r="AG46" i="1"/>
  <c r="AH46" i="1" s="1"/>
  <c r="AG47" i="1"/>
  <c r="AG48" i="1"/>
  <c r="AG49" i="1"/>
  <c r="AG50" i="1"/>
  <c r="AH50" i="1" s="1"/>
  <c r="AG51" i="1"/>
  <c r="AG52" i="1"/>
  <c r="AG53" i="1"/>
  <c r="AG54" i="1"/>
  <c r="AH54" i="1" s="1"/>
  <c r="AG55" i="1"/>
  <c r="AG56" i="1"/>
  <c r="AG57" i="1"/>
  <c r="AG58" i="1"/>
  <c r="AH58" i="1" s="1"/>
  <c r="AG59" i="1"/>
  <c r="AG60" i="1"/>
  <c r="AG61" i="1"/>
  <c r="AG62" i="1"/>
  <c r="AH62" i="1" s="1"/>
  <c r="AG63" i="1"/>
  <c r="AG64" i="1"/>
  <c r="AG65" i="1"/>
  <c r="AG66" i="1"/>
  <c r="AH66" i="1" s="1"/>
  <c r="AG67" i="1"/>
  <c r="AG68" i="1"/>
  <c r="AG69" i="1"/>
  <c r="AG70" i="1"/>
  <c r="AH70" i="1" s="1"/>
  <c r="AG71" i="1"/>
  <c r="AG72" i="1"/>
  <c r="AG73" i="1"/>
  <c r="AG74" i="1"/>
  <c r="AH74" i="1" s="1"/>
  <c r="AG75" i="1"/>
  <c r="AG76" i="1"/>
  <c r="AG77" i="1"/>
  <c r="AG78" i="1"/>
  <c r="AH78" i="1" s="1"/>
  <c r="AG79" i="1"/>
  <c r="AG80" i="1"/>
  <c r="AG81" i="1"/>
  <c r="AG82" i="1"/>
  <c r="AH82" i="1" s="1"/>
  <c r="AG83" i="1"/>
  <c r="AG84" i="1"/>
  <c r="AG85" i="1"/>
  <c r="AG86" i="1"/>
  <c r="AH86" i="1" s="1"/>
  <c r="AG87" i="1"/>
  <c r="AG41" i="1"/>
  <c r="AG8" i="1"/>
  <c r="AH8" i="1" s="1"/>
  <c r="AG9" i="1"/>
  <c r="AG10" i="1"/>
  <c r="AH10" i="1" s="1"/>
  <c r="AG11" i="1"/>
  <c r="AG12" i="1"/>
  <c r="AH12" i="1" s="1"/>
  <c r="AG13" i="1"/>
  <c r="AG14" i="1"/>
  <c r="AH14" i="1" s="1"/>
  <c r="AG15" i="1"/>
  <c r="AG16" i="1"/>
  <c r="AH16" i="1" s="1"/>
  <c r="AG17" i="1"/>
  <c r="AG18" i="1"/>
  <c r="AH18" i="1" s="1"/>
  <c r="AG19" i="1"/>
  <c r="AG20" i="1"/>
  <c r="AH20" i="1" s="1"/>
  <c r="AG21" i="1"/>
  <c r="AG22" i="1"/>
  <c r="AH22" i="1" s="1"/>
  <c r="AG23" i="1"/>
  <c r="AG24" i="1"/>
  <c r="AH24" i="1" s="1"/>
  <c r="AG25" i="1"/>
  <c r="AG26" i="1"/>
  <c r="AH26" i="1" s="1"/>
  <c r="AG27" i="1"/>
  <c r="AG28" i="1"/>
  <c r="AH28" i="1" s="1"/>
  <c r="AG29" i="1"/>
  <c r="AG30" i="1"/>
  <c r="AH30" i="1" s="1"/>
  <c r="AG31" i="1"/>
  <c r="AG32" i="1"/>
  <c r="AH32" i="1" s="1"/>
  <c r="AG33" i="1"/>
  <c r="AG34" i="1"/>
  <c r="AH34" i="1" s="1"/>
  <c r="AG35" i="1"/>
  <c r="AG36" i="1"/>
  <c r="AH36" i="1" s="1"/>
  <c r="AG37" i="1"/>
  <c r="AG38" i="1"/>
  <c r="AH38" i="1" s="1"/>
  <c r="AG39" i="1"/>
  <c r="AG7" i="1"/>
  <c r="AH99" i="1"/>
  <c r="AH90" i="1"/>
  <c r="AH92" i="1"/>
  <c r="AH93" i="1"/>
  <c r="AH94" i="1"/>
  <c r="AH96" i="1"/>
  <c r="AH97" i="1"/>
  <c r="AH89" i="1"/>
  <c r="AH43" i="1"/>
  <c r="AH44" i="1"/>
  <c r="AH45" i="1"/>
  <c r="AH47" i="1"/>
  <c r="AH48" i="1"/>
  <c r="AH49" i="1"/>
  <c r="AH51" i="1"/>
  <c r="AH52" i="1"/>
  <c r="AH53" i="1"/>
  <c r="AH55" i="1"/>
  <c r="AH56" i="1"/>
  <c r="AH57" i="1"/>
  <c r="AH59" i="1"/>
  <c r="AH60" i="1"/>
  <c r="AH61" i="1"/>
  <c r="AH63" i="1"/>
  <c r="AH64" i="1"/>
  <c r="AH65" i="1"/>
  <c r="AH67" i="1"/>
  <c r="AH68" i="1"/>
  <c r="AH69" i="1"/>
  <c r="AH71" i="1"/>
  <c r="AH72" i="1"/>
  <c r="AH73" i="1"/>
  <c r="AH75" i="1"/>
  <c r="AH76" i="1"/>
  <c r="AH77" i="1"/>
  <c r="AH79" i="1"/>
  <c r="AH80" i="1"/>
  <c r="AH81" i="1"/>
  <c r="AH83" i="1"/>
  <c r="AH84" i="1"/>
  <c r="AH85" i="1"/>
  <c r="AH87" i="1"/>
  <c r="AH41" i="1"/>
  <c r="AH9" i="1"/>
  <c r="AH11" i="1"/>
  <c r="AH13" i="1"/>
  <c r="AH15" i="1"/>
  <c r="AH17" i="1"/>
  <c r="AH19" i="1"/>
  <c r="AH21" i="1"/>
  <c r="AH23" i="1"/>
  <c r="AH25" i="1"/>
  <c r="AH27" i="1"/>
  <c r="AH29" i="1"/>
  <c r="AH31" i="1"/>
  <c r="AH33" i="1"/>
  <c r="AH35" i="1"/>
  <c r="AH37" i="1"/>
  <c r="AH39" i="1"/>
  <c r="AH7" i="1"/>
  <c r="K104" i="1"/>
  <c r="K105" i="1"/>
  <c r="K103" i="1"/>
  <c r="K100" i="1"/>
  <c r="K101" i="1"/>
  <c r="K99" i="1"/>
  <c r="K89" i="1"/>
  <c r="K90" i="1"/>
  <c r="K91" i="1"/>
  <c r="K92" i="1"/>
  <c r="K93" i="1"/>
  <c r="K94" i="1"/>
  <c r="K95" i="1"/>
  <c r="K96" i="1"/>
  <c r="K97"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41"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7" i="1"/>
  <c r="AC105" i="1"/>
  <c r="AC104" i="1"/>
  <c r="AH104" i="1" s="1"/>
  <c r="AC103" i="1"/>
  <c r="AC101" i="1"/>
  <c r="AC100" i="1"/>
  <c r="AC99" i="1"/>
  <c r="AC97" i="1"/>
  <c r="AC96" i="1"/>
  <c r="AC95" i="1"/>
  <c r="AC94" i="1"/>
  <c r="AC93" i="1"/>
  <c r="AC92" i="1"/>
  <c r="AC91" i="1"/>
  <c r="AC90" i="1"/>
  <c r="AC89" i="1"/>
  <c r="AC87" i="1"/>
  <c r="AC86" i="1"/>
  <c r="AC85" i="1"/>
  <c r="AC84" i="1"/>
  <c r="AC83" i="1"/>
  <c r="AC82" i="1"/>
  <c r="AC81" i="1"/>
  <c r="AC80" i="1"/>
  <c r="AC79" i="1"/>
  <c r="AC78" i="1"/>
  <c r="AC77" i="1"/>
  <c r="AC76" i="1"/>
  <c r="AC75" i="1"/>
  <c r="AC74" i="1"/>
  <c r="AC73" i="1"/>
  <c r="AC72" i="1"/>
  <c r="AC71" i="1"/>
  <c r="AC70" i="1"/>
  <c r="AC69" i="1"/>
  <c r="AC68" i="1"/>
  <c r="AC67" i="1"/>
  <c r="AC66" i="1"/>
  <c r="AC65" i="1"/>
  <c r="AC64" i="1"/>
  <c r="AC63" i="1"/>
  <c r="AC62" i="1"/>
  <c r="AC61" i="1"/>
  <c r="AC60" i="1"/>
  <c r="AC59" i="1"/>
  <c r="AC58" i="1"/>
  <c r="AC57" i="1"/>
  <c r="AC56" i="1"/>
  <c r="AC55" i="1"/>
  <c r="AC54" i="1"/>
  <c r="AC53" i="1"/>
  <c r="AC52" i="1"/>
  <c r="AC51" i="1"/>
  <c r="AC50" i="1"/>
  <c r="AC49" i="1"/>
  <c r="AC48" i="1"/>
  <c r="AC47" i="1"/>
  <c r="AC46" i="1"/>
  <c r="AC45" i="1"/>
  <c r="AC44" i="1"/>
  <c r="AC43" i="1"/>
  <c r="AC42" i="1"/>
  <c r="AC41" i="1"/>
  <c r="AC39" i="1"/>
  <c r="AC38" i="1"/>
  <c r="AC37" i="1"/>
  <c r="AC36" i="1"/>
  <c r="AC35" i="1"/>
  <c r="AC34" i="1"/>
  <c r="AC33" i="1"/>
  <c r="AC32" i="1"/>
  <c r="AC31" i="1"/>
  <c r="AC30" i="1"/>
  <c r="AC29" i="1"/>
  <c r="AC28" i="1"/>
  <c r="AC27" i="1"/>
  <c r="AC26" i="1"/>
  <c r="AC25" i="1"/>
  <c r="AC24" i="1"/>
  <c r="AC23" i="1"/>
  <c r="AC22" i="1"/>
  <c r="AC21" i="1"/>
  <c r="AC20" i="1"/>
  <c r="AC19" i="1"/>
  <c r="AC18" i="1"/>
  <c r="AC17" i="1"/>
  <c r="AC16" i="1"/>
  <c r="AC15" i="1"/>
  <c r="AC14" i="1"/>
  <c r="AC13" i="1"/>
  <c r="AC12" i="1"/>
  <c r="AC11" i="1"/>
  <c r="AC10" i="1"/>
  <c r="AC9" i="1"/>
  <c r="AC8" i="1"/>
  <c r="AC7" i="1"/>
  <c r="G104" i="1"/>
  <c r="G105" i="1"/>
  <c r="G103" i="1"/>
  <c r="G100" i="1"/>
  <c r="G101" i="1"/>
  <c r="G99" i="1"/>
  <c r="G90" i="1"/>
  <c r="G91" i="1"/>
  <c r="G92" i="1"/>
  <c r="G93" i="1"/>
  <c r="G94" i="1"/>
  <c r="G95" i="1"/>
  <c r="G96" i="1"/>
  <c r="G97" i="1"/>
  <c r="G89"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41" i="1"/>
  <c r="G39"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7" i="1"/>
  <c r="AH100" i="1" l="1"/>
  <c r="L100" i="1"/>
  <c r="L106" i="1" s="1"/>
  <c r="AH105" i="1"/>
  <c r="AH103" i="1"/>
  <c r="AH106" i="1" l="1"/>
  <c r="Q105" i="1" s="1"/>
  <c r="Q104" i="1" l="1"/>
  <c r="Q106" i="1" s="1"/>
</calcChain>
</file>

<file path=xl/sharedStrings.xml><?xml version="1.0" encoding="utf-8"?>
<sst xmlns="http://schemas.openxmlformats.org/spreadsheetml/2006/main" count="475" uniqueCount="209">
  <si>
    <t>PCR</t>
  </si>
  <si>
    <t>AZULES</t>
  </si>
  <si>
    <t>TABLA</t>
  </si>
  <si>
    <t>Ca I M (a pie)</t>
  </si>
  <si>
    <t>A 4 secciones</t>
  </si>
  <si>
    <t>Ca I M (montada)</t>
  </si>
  <si>
    <t>Ídem anterior</t>
  </si>
  <si>
    <t>Ca I Mte</t>
  </si>
  <si>
    <t>Ca Asal Ae</t>
  </si>
  <si>
    <t>Ca I Para</t>
  </si>
  <si>
    <t>Ca I Mot (Veh Rda s/blindaje)</t>
  </si>
  <si>
    <t>Ca I Mec Rda 6 x6</t>
  </si>
  <si>
    <t>A 13 vehículos, 4 secciones x 3 VC cada una</t>
  </si>
  <si>
    <t>Ca I Mec (M113 Amet 12.7mm) o similar</t>
  </si>
  <si>
    <t>Ca I Mec (M113 c/Cñ 20 mm/AIFV )</t>
  </si>
  <si>
    <t>Ca I Mec (VCTP)</t>
  </si>
  <si>
    <t>Ca I Mec (Marder 1 A3)</t>
  </si>
  <si>
    <t>Ca I Mec (Guaraní 6x6 – Amet 7,62 mm</t>
  </si>
  <si>
    <t>CA I Mec (Guaraní 6x6 – Amet 12,7 mm))</t>
  </si>
  <si>
    <t>Ca I Mec (Mowag Piraña 6x6 – Amet 12,7)</t>
  </si>
  <si>
    <t>Ca I Mec (Mowag Piraña 6x6 – Cñ 25 mm)</t>
  </si>
  <si>
    <t>Esc C (montado)</t>
  </si>
  <si>
    <t>Esc Tan (SK 105)</t>
  </si>
  <si>
    <t>Esc Tan (TAM)</t>
  </si>
  <si>
    <t>Esc Tan (TAM 2 C)</t>
  </si>
  <si>
    <t>Esc Tan (TAM 2IP)</t>
  </si>
  <si>
    <t>Esc Tan (LEOPARD 1)</t>
  </si>
  <si>
    <t>Esc Tan (LEOPARD 2)</t>
  </si>
  <si>
    <t>Esc Tan (LEOPARD 2 A4)</t>
  </si>
  <si>
    <t>Esc Tan (PANHARD)</t>
  </si>
  <si>
    <t>Esc Tan (AMX 30)</t>
  </si>
  <si>
    <t>Esc Tan (Cascavel)</t>
  </si>
  <si>
    <t>Esc Expl (Hummer c/Amet 12.7mm)</t>
  </si>
  <si>
    <t>2 Secciones Pesadas + 1 Sec Liv</t>
  </si>
  <si>
    <t>Esc Expl (Hummer c/Amet 7.62 mm)</t>
  </si>
  <si>
    <t>Esc Expl (Guaraní + 1 Sec Pes Cascavel)</t>
  </si>
  <si>
    <t>Esc Expl (Guaraní – Amet 12,7 mm)</t>
  </si>
  <si>
    <t>Sec Expl (Cascavel EE9 Cñ 90 mm)</t>
  </si>
  <si>
    <t>Sec Expl Moto TT</t>
  </si>
  <si>
    <t>Sec Av Ej (Expl)</t>
  </si>
  <si>
    <t>GA Bl Cal 155 mm (Palmaria)</t>
  </si>
  <si>
    <t>GA Mec Cal 105 mm (M101 A1)</t>
  </si>
  <si>
    <t>GA Cal 155 mm (CITER)</t>
  </si>
  <si>
    <t>GA Bl Cal 155 mm</t>
  </si>
  <si>
    <t>GA Remol Cal 155 mm</t>
  </si>
  <si>
    <t>GA Cal 105 mm (Otto Melara o similar)</t>
  </si>
  <si>
    <t>Ba PP Cal 155 (Palmaria)</t>
  </si>
  <si>
    <t>Ba PP Cal 155 mm</t>
  </si>
  <si>
    <t>Ba Cal 155 mm (CITER – SOFMA o similar)</t>
  </si>
  <si>
    <t>Sec Mor Pes Cal 120 mm (VCTM / M107/Piraña 6x6)</t>
  </si>
  <si>
    <t>Sec Mor Pes Cal 120 mm remolcado a rueda</t>
  </si>
  <si>
    <t>Ba Liv Cal 105 mm (M 101)</t>
  </si>
  <si>
    <t>Ba Cal 105 mm (Otto Melara o similar)</t>
  </si>
  <si>
    <t>Ba M101 Cal 105 mm</t>
  </si>
  <si>
    <t>Ba PP M-7 Cal 105 mm</t>
  </si>
  <si>
    <t>Ba PP M-108 Cal 105 mm</t>
  </si>
  <si>
    <t>Ba SLAM Cal 105 mm (PAMPERO)</t>
  </si>
  <si>
    <t>Ba SLAM Cal 155 mm</t>
  </si>
  <si>
    <t>Ba SLAM YARARÁ Cal 70 mm</t>
  </si>
  <si>
    <t>Ba SLAM M-108 R</t>
  </si>
  <si>
    <t>Ba SLAM SAPBA Cal 127 mm</t>
  </si>
  <si>
    <t>Ba SLAM BM 24 Cal 240 mm</t>
  </si>
  <si>
    <t>Ba SLAM Cal 160 mm</t>
  </si>
  <si>
    <t>Ba SLAM Cal 306 mm</t>
  </si>
  <si>
    <t>BABAC</t>
  </si>
  <si>
    <t>Grupo Radar terrestre 3 km</t>
  </si>
  <si>
    <t>Grupo Radar terrestre 12 km</t>
  </si>
  <si>
    <t>Grupo Radar terrestre 30 km</t>
  </si>
  <si>
    <t>Grupo Radar terrestre 80 km</t>
  </si>
  <si>
    <t>Esc Helic Atq (con misil)</t>
  </si>
  <si>
    <t>Ca Atan Misil Hiloguiado</t>
  </si>
  <si>
    <t>Ca Atan Misil inteligente</t>
  </si>
  <si>
    <t>Sec ADA Mis Stinger</t>
  </si>
  <si>
    <t>Sec ADA Mis Mistral</t>
  </si>
  <si>
    <t>BADA Cal 35 mm</t>
  </si>
  <si>
    <t>BADA Cal 40 mm</t>
  </si>
  <si>
    <t>BADA Mis</t>
  </si>
  <si>
    <t>BADA Cal 20 mm</t>
  </si>
  <si>
    <t>Esc AE 2 Sec x 2 Helo c/u</t>
  </si>
  <si>
    <t>Sec Av Ej (Atq)</t>
  </si>
  <si>
    <t>Ca ATan - Misil Spike LR1</t>
  </si>
  <si>
    <t>Ca ATan - Misil Spike LR2</t>
  </si>
  <si>
    <t>Ca Atan - Misil TOW 2A</t>
  </si>
  <si>
    <t>Sec ATan (Lanzacohetes)</t>
  </si>
  <si>
    <t>Sec ANT Hermes 450 aeronave no tripulada portador de misil</t>
  </si>
  <si>
    <t>Sec ANT Hermes 900 portador misil + bombas 4 ANT x Sec</t>
  </si>
  <si>
    <t>Sec ANT (Clase I) Drones genérico sin armamento</t>
  </si>
  <si>
    <t>0.9</t>
  </si>
  <si>
    <t>4 baterías (1)</t>
  </si>
  <si>
    <t>Ídem anterior(1)</t>
  </si>
  <si>
    <t>4 piezas</t>
  </si>
  <si>
    <t>4 lanzadores por batería</t>
  </si>
  <si>
    <t>3 radares por grupo (2)</t>
  </si>
  <si>
    <t>Ídem anterior(2)</t>
  </si>
  <si>
    <t>3 secciones a 3 grupos de lanzadores</t>
  </si>
  <si>
    <t>3lanzadores (3)</t>
  </si>
  <si>
    <t>Ídem anterior (3)</t>
  </si>
  <si>
    <t>4 secciones a 3 piezas</t>
  </si>
  <si>
    <t>4 secciones a 3 Lanzadores</t>
  </si>
  <si>
    <t>1 Sec de Atq y una de Expl.</t>
  </si>
  <si>
    <t>4 Helo</t>
  </si>
  <si>
    <t>3 Sec a 2 lanzadores por Sec</t>
  </si>
  <si>
    <t>3 Lanzadores</t>
  </si>
  <si>
    <t>A 4 aeronaves no tripuladas por sección Incluye capacidad de Atq, Expl y Vig</t>
  </si>
  <si>
    <t>A 4 aeronaves no tripuladas con capacidad de Adquisición, Guiado, Exploración.</t>
  </si>
  <si>
    <t>((1))</t>
  </si>
  <si>
    <t>(1) Con munición inteligente, multiplicar el VRC por 1,5.
(2) Solo se consideran si están por fuera de la BABAC o de la orgánica de los GGA.
(3) Solo se consideran si se dispone de apoyo de fuego aéreo cercano, y en gran disponibilidad. Si el Eno o propia tropa no dispondrán de apoyo aéreo predispuesto o a pedido, pero tienen este material, no sumarlo en el total del PCR. Se procederá por analogía con las Secciones / Ba de Cñ ADA si no se dispone de Helicópteros.</t>
  </si>
  <si>
    <t>Elementos de Apoyo de Ingenieros</t>
  </si>
  <si>
    <t>B Ing Liv</t>
  </si>
  <si>
    <t>B Ing Bl/Mec</t>
  </si>
  <si>
    <t>Ca Ing Pes</t>
  </si>
  <si>
    <t>Ca Ing Buzos</t>
  </si>
  <si>
    <t>Ca Ing Comb</t>
  </si>
  <si>
    <t>Ca Ing Franq</t>
  </si>
  <si>
    <t>Ca Ing Pte Flot</t>
  </si>
  <si>
    <t>Ca Ing Pte Pnl</t>
  </si>
  <si>
    <t>4 Ca Ing Comb + 1 Ca Ing Franq</t>
  </si>
  <si>
    <t>4 Ca Ing Comb Mec + 1 Ca Ing Franq</t>
  </si>
  <si>
    <t>A 4 Secciones</t>
  </si>
  <si>
    <t>M4 T6</t>
  </si>
  <si>
    <t>Lanz Tijera</t>
  </si>
  <si>
    <t>Bailey</t>
  </si>
  <si>
    <t>Elementos de Comunicaciones y GE</t>
  </si>
  <si>
    <t>Ca Com (s)</t>
  </si>
  <si>
    <t>Sec GE (HF)</t>
  </si>
  <si>
    <t>Sec GE (VHF)</t>
  </si>
  <si>
    <t>Fuera de su AG particular vale 0.60</t>
  </si>
  <si>
    <t>1 Sec CCIP, una Sec CCIS, una Sec Enl Inter, una Sec Telecom /PC y una Sec Seg.</t>
  </si>
  <si>
    <t>Capacidad de afectar las Com (s) de Nivel GUB y GUC.</t>
  </si>
  <si>
    <t>Capacidad de afectar las Com (s) de Nivel Unidad y Subunidad Táctica.</t>
  </si>
  <si>
    <t>Elementos de TOE</t>
  </si>
  <si>
    <t>Ca Cdo (s)</t>
  </si>
  <si>
    <t>Ca Caz (s) Mte</t>
  </si>
  <si>
    <t>Ca Caz (s) M</t>
  </si>
  <si>
    <t>Elementos de Apoyo de Fuego</t>
  </si>
  <si>
    <t>Elementos de Maniobra</t>
  </si>
  <si>
    <t>VRC</t>
  </si>
  <si>
    <t>Parcial</t>
  </si>
  <si>
    <t>Prom</t>
  </si>
  <si>
    <t>Total por Elem</t>
  </si>
  <si>
    <t>Equipamiento/Tipo</t>
  </si>
  <si>
    <t>Obs</t>
  </si>
  <si>
    <t>Cantidad</t>
  </si>
  <si>
    <t>Moral (1)</t>
  </si>
  <si>
    <t>Exp (2)</t>
  </si>
  <si>
    <t>Pers (3)</t>
  </si>
  <si>
    <t>Muy Alta</t>
  </si>
  <si>
    <t>Alta</t>
  </si>
  <si>
    <t>Normal</t>
  </si>
  <si>
    <t>Baja</t>
  </si>
  <si>
    <t>Muy Baja</t>
  </si>
  <si>
    <t>Factor Multiplicador</t>
  </si>
  <si>
    <t>Exp de Comb Mov</t>
  </si>
  <si>
    <t>Exp de Comb Def</t>
  </si>
  <si>
    <t>Sin Exp en Comb</t>
  </si>
  <si>
    <t>Ejemplo: de 1000 efectivos, solo 240 tienen experiencia de combate defensivo.</t>
  </si>
  <si>
    <t>La experiencia de combate debe calcularse proporcionalmente, según la cantidad de personal que se estima ha participado en combate real.</t>
  </si>
  <si>
    <t>“PERMANENTE” se refiere al personal de Cuadros.</t>
  </si>
  <si>
    <t>100% permanente:</t>
  </si>
  <si>
    <t>75% permanente, 25 % movilizado:</t>
  </si>
  <si>
    <t>50% permanente, 50 % movilizado:</t>
  </si>
  <si>
    <t>Unidad 100% movilizada:</t>
  </si>
  <si>
    <t>Tropa Conscripta</t>
  </si>
  <si>
    <t>Tropa Profesional</t>
  </si>
  <si>
    <t>Luego, adecuar los valores anteriores según la permanencia de la tropa:</t>
  </si>
  <si>
    <t>Tropa Conscripta con dos años de servicio</t>
  </si>
  <si>
    <t>Multiplicar valor anterior por 0,75</t>
  </si>
  <si>
    <t>(Los valores intermedios de los datos anteriores se pueden extrapolar sin inconvenientes).</t>
  </si>
  <si>
    <t>Ejemplo: Unidad con 75 % del personal de cuadros permanente, con tropa conscripta: 0.75 x 0.5 = 0.375</t>
  </si>
  <si>
    <r>
      <t>Cálculo (Ejemplo)</t>
    </r>
    <r>
      <rPr>
        <sz val="10"/>
        <color theme="1"/>
        <rFont val="Times New Roman"/>
        <family val="1"/>
      </rPr>
      <t>:</t>
    </r>
  </si>
  <si>
    <t>–    Efectivos sin experiencia: 760 x 0.1 (valor c.) = 76.</t>
  </si>
  <si>
    <t>–    Efectivos con experiencia de combate defensivo: 240 x 0.5=120.</t>
  </si>
  <si>
    <t>–    Total: 120 + 76 = 196.</t>
  </si>
  <si>
    <t>–    Proporción: 196/1000 = 0.196 (el puntaje se divide por el total de efectivos). El valor de la proporción nunca puede superar el 1.</t>
  </si>
  <si>
    <t>COLORADOS</t>
  </si>
  <si>
    <t>Este cálculo deberá ser realizado considerando la capacidad de visión nocturna para cada elemento en forma independiente.</t>
  </si>
  <si>
    <t>Diurno</t>
  </si>
  <si>
    <t>Diurno con baja visibilidad</t>
  </si>
  <si>
    <t>Nocturno sin instrucción ni capacidad de visión nocturna</t>
  </si>
  <si>
    <t>con instrucción nocturna y material de visión nocturna (amplificador de luz)</t>
  </si>
  <si>
    <t>con instrucción y material de visión nocturna (térmica)</t>
  </si>
  <si>
    <t>Opor (4)</t>
  </si>
  <si>
    <t>Adp (5)</t>
  </si>
  <si>
    <t>Oportunidad (4)</t>
  </si>
  <si>
    <t>Tipo de Elem.</t>
  </si>
  <si>
    <t>Llanura</t>
  </si>
  <si>
    <t>Monte</t>
  </si>
  <si>
    <t>Alta M</t>
  </si>
  <si>
    <t>Media M</t>
  </si>
  <si>
    <t>Baja M</t>
  </si>
  <si>
    <t>Desierto</t>
  </si>
  <si>
    <t>Urbano</t>
  </si>
  <si>
    <t>Con capacitación particular</t>
  </si>
  <si>
    <t>Sin capacitación particular</t>
  </si>
  <si>
    <t>Elemento aclimatado a</t>
  </si>
  <si>
    <t>Operando en:</t>
  </si>
  <si>
    <t>Altas latitudes</t>
  </si>
  <si>
    <t>Frío húmedo</t>
  </si>
  <si>
    <t>Frío</t>
  </si>
  <si>
    <t>Templado</t>
  </si>
  <si>
    <t>Subtropi- cal seco</t>
  </si>
  <si>
    <t>Sub Tropi- cal húmedo</t>
  </si>
  <si>
    <t>Tropical</t>
  </si>
  <si>
    <t>Subtropical seco</t>
  </si>
  <si>
    <t>Subtropical Húmedo</t>
  </si>
  <si>
    <t>Este cálculo deberá ser realizado considerando la aptitud particular para cada elemento en forma independiente, en relación con su capacidad de adaptación inmediata para operar en otro terreno que no sea el de su especificidad. Se advierte que un elemento de alta montaña podrá adaptarse rápidamente a las condiciones de llanura, pero ningún elemento podrá hacerlo en la alta montaña en poco tiempo sin recibir la capacitación particular.</t>
  </si>
  <si>
    <t>Aptitud (6)</t>
  </si>
  <si>
    <t>con instrucción nocturna, sin elementos ópticos</t>
  </si>
  <si>
    <t>TOTAL</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</si>
</sst>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b/>
      <sz val="11"/>
      <color theme="0"/>
      <name val="Calibri"/>
      <family val="2"/>
      <scheme val="minor"/>
    </font>
    <font>
      <b/>
      <sz val="11"/>
      <color theme="1"/>
      <name val="Calibri"/>
      <family val="2"/>
      <scheme val="minor"/>
    </font>
    <font>
      <sz val="8"/>
      <color theme="1"/>
      <name val="Times New Roman"/>
      <family val="1"/>
    </font>
    <font>
      <sz val="6"/>
      <color theme="1"/>
      <name val="Times New Roman"/>
      <family val="1"/>
    </font>
    <font>
      <sz val="7"/>
      <color theme="1"/>
      <name val="Times New Roman"/>
      <family val="1"/>
    </font>
    <font>
      <sz val="11"/>
      <color theme="1"/>
      <name val="Times New Roman"/>
      <family val="1"/>
    </font>
    <font>
      <sz val="8.5"/>
      <color theme="1"/>
      <name val="Times New Roman"/>
      <family val="1"/>
    </font>
    <font>
      <sz val="11"/>
      <color theme="0"/>
      <name val="Times New Roman"/>
      <family val="1"/>
    </font>
    <font>
      <sz val="10"/>
      <color theme="1"/>
      <name val="Times New Roman"/>
      <family val="1"/>
    </font>
    <font>
      <b/>
      <sz val="10"/>
      <color theme="1"/>
      <name val="Times New Roman"/>
      <family val="1"/>
    </font>
    <font>
      <b/>
      <sz val="12"/>
      <color theme="1"/>
      <name val="Times New Roman"/>
      <family val="1"/>
    </font>
    <font>
      <b/>
      <sz val="12"/>
      <color theme="0"/>
      <name val="Times New Roman"/>
      <family val="1"/>
    </font>
  </fonts>
  <fills count="22">
    <fill>
      <patternFill patternType="none"/>
    </fill>
    <fill>
      <patternFill patternType="gray125"/>
    </fill>
    <fill>
      <patternFill patternType="solid">
        <fgColor rgb="FFFFFF00"/>
        <bgColor indexed="64"/>
      </patternFill>
    </fill>
    <fill>
      <patternFill patternType="solid">
        <fgColor theme="3" tint="0.59999389629810485"/>
        <bgColor indexed="64"/>
      </patternFill>
    </fill>
    <fill>
      <patternFill patternType="solid">
        <fgColor theme="1"/>
        <bgColor indexed="64"/>
      </patternFill>
    </fill>
    <fill>
      <patternFill patternType="solid">
        <fgColor rgb="FFFF0000"/>
        <bgColor indexed="64"/>
      </patternFill>
    </fill>
    <fill>
      <patternFill patternType="solid">
        <fgColor theme="4"/>
        <bgColor indexed="64"/>
      </patternFill>
    </fill>
    <fill>
      <patternFill patternType="solid">
        <fgColor rgb="FF92D050"/>
        <bgColor indexed="64"/>
      </patternFill>
    </fill>
    <fill>
      <patternFill patternType="solid">
        <fgColor rgb="FFC00000"/>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rgb="FFFF5757"/>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91CF4F"/>
        <bgColor indexed="64"/>
      </patternFill>
    </fill>
    <fill>
      <patternFill patternType="solid">
        <fgColor rgb="FFB6DDE8"/>
        <bgColor indexed="64"/>
      </patternFill>
    </fill>
    <fill>
      <patternFill patternType="solid">
        <fgColor rgb="FF8CB3E2"/>
        <bgColor indexed="64"/>
      </patternFill>
    </fill>
    <fill>
      <patternFill patternType="solid">
        <fgColor rgb="FFD8D8D8"/>
        <bgColor indexed="64"/>
      </patternFill>
    </fill>
    <fill>
      <patternFill patternType="solid">
        <fgColor rgb="FFFDE8D8"/>
        <bgColor indexed="64"/>
      </patternFill>
    </fill>
    <fill>
      <patternFill patternType="solid">
        <fgColor rgb="FFF9BF8E"/>
        <bgColor indexed="64"/>
      </patternFill>
    </fill>
    <fill>
      <patternFill patternType="solid">
        <fgColor rgb="FFD6E2BC"/>
        <bgColor indexed="64"/>
      </patternFill>
    </fill>
    <fill>
      <patternFill patternType="solid">
        <fgColor rgb="FF0070C0"/>
        <bgColor indexed="64"/>
      </patternFill>
    </fill>
  </fills>
  <borders count="47">
    <border>
      <left/>
      <right/>
      <top/>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medium">
        <color rgb="FF000000"/>
      </right>
      <top style="medium">
        <color rgb="FF000000"/>
      </top>
      <bottom/>
      <diagonal/>
    </border>
    <border>
      <left/>
      <right style="medium">
        <color rgb="FF000000"/>
      </right>
      <top/>
      <bottom/>
      <diagonal/>
    </border>
    <border>
      <left style="thin">
        <color indexed="64"/>
      </left>
      <right/>
      <top/>
      <bottom style="medium">
        <color rgb="FF000000"/>
      </bottom>
      <diagonal/>
    </border>
    <border>
      <left/>
      <right style="thin">
        <color indexed="64"/>
      </right>
      <top/>
      <bottom style="medium">
        <color rgb="FF000000"/>
      </bottom>
      <diagonal/>
    </border>
    <border>
      <left style="thin">
        <color indexed="64"/>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style="medium">
        <color rgb="FF000000"/>
      </right>
      <top/>
      <bottom style="medium">
        <color rgb="FF000000"/>
      </bottom>
      <diagonal/>
    </border>
    <border>
      <left style="medium">
        <color rgb="FF000000"/>
      </left>
      <right style="thin">
        <color indexed="64"/>
      </right>
      <top style="medium">
        <color rgb="FF000000"/>
      </top>
      <bottom/>
      <diagonal/>
    </border>
    <border>
      <left style="medium">
        <color rgb="FF000000"/>
      </left>
      <right style="thin">
        <color indexed="64"/>
      </right>
      <top/>
      <bottom/>
      <diagonal/>
    </border>
    <border>
      <left style="medium">
        <color rgb="FF000000"/>
      </left>
      <right style="thin">
        <color indexed="64"/>
      </right>
      <top/>
      <bottom style="medium">
        <color rgb="FF000000"/>
      </bottom>
      <diagonal/>
    </border>
    <border>
      <left style="thin">
        <color indexed="64"/>
      </left>
      <right style="medium">
        <color rgb="FF000000"/>
      </right>
      <top/>
      <bottom style="thin">
        <color indexed="64"/>
      </bottom>
      <diagonal/>
    </border>
    <border>
      <left/>
      <right style="medium">
        <color rgb="FF000000"/>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34">
    <xf numFmtId="0" fontId="0" fillId="0" borderId="0" xfId="0"/>
    <xf numFmtId="0" fontId="0" fillId="0" borderId="0" xfId="0" applyAlignment="1"/>
    <xf numFmtId="0" fontId="7" fillId="0" borderId="5"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5"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1" xfId="0" applyFont="1" applyBorder="1" applyAlignment="1">
      <alignment horizontal="center" vertical="center" wrapText="1"/>
    </xf>
    <xf numFmtId="0" fontId="6" fillId="7" borderId="9" xfId="0" applyFont="1" applyFill="1" applyBorder="1" applyAlignment="1">
      <alignment horizontal="center" vertical="center"/>
    </xf>
    <xf numFmtId="0" fontId="6" fillId="7" borderId="10" xfId="0" applyFont="1" applyFill="1" applyBorder="1" applyAlignment="1">
      <alignment horizontal="center" vertical="center"/>
    </xf>
    <xf numFmtId="0" fontId="6" fillId="0" borderId="10" xfId="0" applyFont="1" applyBorder="1" applyAlignment="1">
      <alignment horizontal="center" vertical="center"/>
    </xf>
    <xf numFmtId="0" fontId="6" fillId="8" borderId="10" xfId="0" applyFont="1" applyFill="1" applyBorder="1" applyAlignment="1">
      <alignment horizontal="center" vertical="center"/>
    </xf>
    <xf numFmtId="0" fontId="6" fillId="8" borderId="11" xfId="0" applyFont="1" applyFill="1" applyBorder="1" applyAlignment="1">
      <alignment horizontal="center" vertical="center"/>
    </xf>
    <xf numFmtId="0" fontId="8" fillId="5" borderId="5" xfId="0" applyFont="1" applyFill="1" applyBorder="1" applyAlignment="1">
      <alignment horizontal="center" vertical="center"/>
    </xf>
    <xf numFmtId="0" fontId="8" fillId="4" borderId="5" xfId="0" applyFont="1" applyFill="1" applyBorder="1" applyAlignment="1">
      <alignment horizontal="center" vertical="center"/>
    </xf>
    <xf numFmtId="0" fontId="6" fillId="3" borderId="5" xfId="0" applyFont="1" applyFill="1" applyBorder="1" applyAlignment="1">
      <alignment horizontal="center" vertical="center"/>
    </xf>
    <xf numFmtId="0" fontId="6" fillId="2" borderId="5" xfId="0" applyFont="1" applyFill="1" applyBorder="1" applyAlignment="1">
      <alignment horizontal="center" vertical="center"/>
    </xf>
    <xf numFmtId="0" fontId="7" fillId="9" borderId="5" xfId="0" applyFont="1" applyFill="1" applyBorder="1" applyAlignment="1">
      <alignment horizontal="center" vertical="center" wrapText="1"/>
    </xf>
    <xf numFmtId="0" fontId="6" fillId="0" borderId="5" xfId="0" applyFont="1" applyBorder="1" applyAlignment="1">
      <alignment horizontal="center" vertical="center"/>
    </xf>
    <xf numFmtId="0" fontId="7" fillId="10" borderId="5" xfId="0" applyFont="1" applyFill="1" applyBorder="1" applyAlignment="1">
      <alignment horizontal="center" vertical="center" wrapText="1"/>
    </xf>
    <xf numFmtId="0" fontId="3" fillId="0" borderId="5" xfId="0" applyFont="1" applyBorder="1" applyAlignment="1">
      <alignment horizontal="center" vertical="center" wrapText="1"/>
    </xf>
    <xf numFmtId="0" fontId="7" fillId="11" borderId="5" xfId="0" applyFont="1" applyFill="1" applyBorder="1" applyAlignment="1">
      <alignment horizontal="center" vertical="center" wrapText="1"/>
    </xf>
    <xf numFmtId="0" fontId="4" fillId="0" borderId="5" xfId="0" applyFont="1" applyBorder="1" applyAlignment="1">
      <alignment horizontal="center" vertical="center" wrapText="1"/>
    </xf>
    <xf numFmtId="0" fontId="5" fillId="0" borderId="5" xfId="0" applyFont="1" applyBorder="1" applyAlignment="1">
      <alignment horizontal="center" vertical="center" wrapText="1"/>
    </xf>
    <xf numFmtId="0" fontId="7" fillId="12" borderId="5" xfId="0" applyFont="1" applyFill="1" applyBorder="1" applyAlignment="1">
      <alignment horizontal="center" vertical="center" wrapText="1"/>
    </xf>
    <xf numFmtId="0" fontId="7" fillId="13" borderId="5"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9" fillId="0" borderId="5" xfId="0" applyFont="1" applyBorder="1"/>
    <xf numFmtId="0" fontId="9" fillId="0" borderId="5" xfId="0" applyFont="1" applyFill="1" applyBorder="1" applyAlignment="1">
      <alignment horizontal="center" vertical="center" wrapText="1"/>
    </xf>
    <xf numFmtId="0" fontId="9" fillId="0" borderId="0" xfId="0" applyFont="1"/>
    <xf numFmtId="0" fontId="9" fillId="0" borderId="5" xfId="0" applyFont="1" applyBorder="1" applyAlignment="1">
      <alignment horizontal="center" vertical="center" wrapText="1"/>
    </xf>
    <xf numFmtId="0" fontId="10" fillId="0" borderId="15"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18" xfId="0" applyFont="1" applyBorder="1" applyAlignment="1">
      <alignment horizontal="center" vertical="center" wrapText="1"/>
    </xf>
    <xf numFmtId="0" fontId="9" fillId="0" borderId="5" xfId="0" applyFont="1" applyBorder="1" applyAlignment="1">
      <alignment horizontal="center" vertical="center"/>
    </xf>
    <xf numFmtId="0" fontId="8" fillId="5" borderId="9"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8" fillId="5" borderId="11" xfId="0" applyFont="1" applyFill="1" applyBorder="1" applyAlignment="1">
      <alignment horizontal="center" vertical="center" wrapText="1"/>
    </xf>
    <xf numFmtId="0" fontId="8" fillId="6" borderId="9" xfId="0" applyFont="1" applyFill="1" applyBorder="1" applyAlignment="1">
      <alignment horizontal="center" vertical="center" wrapText="1"/>
    </xf>
    <xf numFmtId="0" fontId="8" fillId="6" borderId="10" xfId="0" applyFont="1" applyFill="1" applyBorder="1" applyAlignment="1">
      <alignment horizontal="center" vertical="center" wrapText="1"/>
    </xf>
    <xf numFmtId="0" fontId="8" fillId="6" borderId="11" xfId="0" applyFont="1" applyFill="1" applyBorder="1" applyAlignment="1">
      <alignment horizontal="center" vertical="center" wrapText="1"/>
    </xf>
    <xf numFmtId="0" fontId="9" fillId="0" borderId="5" xfId="0" applyFont="1" applyBorder="1" applyAlignment="1">
      <alignment vertical="center"/>
    </xf>
    <xf numFmtId="0" fontId="9" fillId="0" borderId="0" xfId="0" applyFont="1" applyAlignment="1"/>
    <xf numFmtId="0" fontId="9" fillId="2" borderId="1" xfId="0" applyFont="1" applyFill="1" applyBorder="1" applyAlignment="1">
      <alignment horizontal="center" vertical="center" wrapText="1"/>
    </xf>
    <xf numFmtId="0" fontId="9" fillId="0" borderId="3" xfId="0" applyFont="1" applyBorder="1" applyAlignment="1">
      <alignment horizontal="center" vertical="center" wrapText="1"/>
    </xf>
    <xf numFmtId="0" fontId="10" fillId="0" borderId="3" xfId="0" applyFont="1" applyBorder="1" applyAlignment="1">
      <alignment horizontal="center" vertical="center" wrapText="1"/>
    </xf>
    <xf numFmtId="0" fontId="9" fillId="15" borderId="3" xfId="0" applyFont="1" applyFill="1" applyBorder="1" applyAlignment="1">
      <alignment horizontal="center" vertical="center" wrapText="1"/>
    </xf>
    <xf numFmtId="0" fontId="9" fillId="16" borderId="3" xfId="0" applyFont="1" applyFill="1" applyBorder="1" applyAlignment="1">
      <alignment horizontal="center" vertical="center" wrapText="1"/>
    </xf>
    <xf numFmtId="0" fontId="9" fillId="17" borderId="3" xfId="0" applyFont="1" applyFill="1" applyBorder="1" applyAlignment="1">
      <alignment horizontal="center" vertical="center" wrapText="1"/>
    </xf>
    <xf numFmtId="0" fontId="9" fillId="18" borderId="3" xfId="0" applyFont="1" applyFill="1" applyBorder="1" applyAlignment="1">
      <alignment horizontal="center" vertical="center" wrapText="1"/>
    </xf>
    <xf numFmtId="0" fontId="9" fillId="19" borderId="3" xfId="0" applyFont="1" applyFill="1" applyBorder="1" applyAlignment="1">
      <alignment horizontal="center" vertical="center" wrapText="1"/>
    </xf>
    <xf numFmtId="0" fontId="9" fillId="20" borderId="3" xfId="0" applyFont="1" applyFill="1" applyBorder="1" applyAlignment="1">
      <alignment horizontal="center" vertical="center" wrapText="1"/>
    </xf>
    <xf numFmtId="0" fontId="10" fillId="0" borderId="4" xfId="0" applyFont="1" applyBorder="1" applyAlignment="1">
      <alignment horizontal="center" vertical="center" wrapText="1"/>
    </xf>
    <xf numFmtId="0" fontId="10" fillId="20" borderId="7" xfId="0" applyFont="1" applyFill="1" applyBorder="1" applyAlignment="1">
      <alignment horizontal="center" vertical="center" wrapText="1"/>
    </xf>
    <xf numFmtId="0" fontId="10" fillId="20" borderId="8" xfId="0" applyFont="1" applyFill="1" applyBorder="1" applyAlignment="1">
      <alignment horizontal="center" vertical="center" wrapText="1"/>
    </xf>
    <xf numFmtId="0" fontId="10" fillId="20" borderId="2" xfId="0" applyFont="1" applyFill="1" applyBorder="1" applyAlignment="1">
      <alignment horizontal="center" vertical="center" wrapText="1"/>
    </xf>
    <xf numFmtId="0" fontId="10" fillId="19" borderId="7" xfId="0" applyFont="1" applyFill="1" applyBorder="1" applyAlignment="1">
      <alignment horizontal="center" vertical="center" wrapText="1"/>
    </xf>
    <xf numFmtId="0" fontId="10" fillId="19" borderId="8" xfId="0" applyFont="1" applyFill="1" applyBorder="1" applyAlignment="1">
      <alignment horizontal="center" vertical="center" wrapText="1"/>
    </xf>
    <xf numFmtId="0" fontId="10" fillId="19" borderId="2" xfId="0" applyFont="1" applyFill="1" applyBorder="1" applyAlignment="1">
      <alignment horizontal="center" vertical="center" wrapText="1"/>
    </xf>
    <xf numFmtId="0" fontId="10" fillId="18" borderId="7" xfId="0" applyFont="1" applyFill="1" applyBorder="1" applyAlignment="1">
      <alignment horizontal="center" vertical="center" wrapText="1"/>
    </xf>
    <xf numFmtId="0" fontId="10" fillId="18" borderId="8" xfId="0" applyFont="1" applyFill="1" applyBorder="1" applyAlignment="1">
      <alignment horizontal="center" vertical="center" wrapText="1"/>
    </xf>
    <xf numFmtId="0" fontId="10" fillId="18" borderId="2" xfId="0" applyFont="1" applyFill="1" applyBorder="1" applyAlignment="1">
      <alignment horizontal="center" vertical="center" wrapText="1"/>
    </xf>
    <xf numFmtId="0" fontId="10" fillId="17" borderId="7" xfId="0" applyFont="1" applyFill="1" applyBorder="1" applyAlignment="1">
      <alignment horizontal="center" vertical="center" wrapText="1"/>
    </xf>
    <xf numFmtId="0" fontId="10" fillId="17" borderId="8" xfId="0" applyFont="1" applyFill="1" applyBorder="1" applyAlignment="1">
      <alignment horizontal="center" vertical="center" wrapText="1"/>
    </xf>
    <xf numFmtId="0" fontId="10" fillId="17" borderId="2" xfId="0" applyFont="1" applyFill="1" applyBorder="1" applyAlignment="1">
      <alignment horizontal="center" vertical="center" wrapText="1"/>
    </xf>
    <xf numFmtId="0" fontId="10" fillId="16" borderId="7" xfId="0" applyFont="1" applyFill="1" applyBorder="1" applyAlignment="1">
      <alignment horizontal="center" vertical="center" wrapText="1"/>
    </xf>
    <xf numFmtId="0" fontId="10" fillId="16" borderId="8" xfId="0" applyFont="1" applyFill="1" applyBorder="1" applyAlignment="1">
      <alignment horizontal="center" vertical="center" wrapText="1"/>
    </xf>
    <xf numFmtId="0" fontId="10" fillId="16" borderId="2" xfId="0" applyFont="1" applyFill="1" applyBorder="1" applyAlignment="1">
      <alignment horizontal="center" vertical="center" wrapText="1"/>
    </xf>
    <xf numFmtId="0" fontId="10" fillId="15" borderId="21" xfId="0" applyFont="1" applyFill="1" applyBorder="1" applyAlignment="1">
      <alignment horizontal="center" vertical="center" wrapText="1"/>
    </xf>
    <xf numFmtId="0" fontId="10" fillId="15" borderId="20" xfId="0" applyFont="1" applyFill="1" applyBorder="1" applyAlignment="1">
      <alignment horizontal="center" vertical="center" wrapText="1"/>
    </xf>
    <xf numFmtId="0" fontId="10" fillId="15" borderId="3" xfId="0" applyFont="1" applyFill="1" applyBorder="1" applyAlignment="1">
      <alignment horizontal="center" vertical="center" wrapText="1"/>
    </xf>
    <xf numFmtId="0" fontId="10" fillId="0" borderId="5" xfId="0" applyFont="1" applyBorder="1" applyAlignment="1">
      <alignment horizontal="center" vertical="center" wrapText="1"/>
    </xf>
    <xf numFmtId="0" fontId="10" fillId="12" borderId="5" xfId="0" applyFont="1" applyFill="1" applyBorder="1" applyAlignment="1">
      <alignment horizontal="center" vertical="center"/>
    </xf>
    <xf numFmtId="0" fontId="10" fillId="0" borderId="5" xfId="0" applyFont="1" applyBorder="1" applyAlignment="1">
      <alignment horizontal="center" vertical="center"/>
    </xf>
    <xf numFmtId="0" fontId="10" fillId="12" borderId="5" xfId="0" applyFont="1" applyFill="1" applyBorder="1" applyAlignment="1">
      <alignment horizontal="center" vertical="center" wrapText="1"/>
    </xf>
    <xf numFmtId="0" fontId="10" fillId="0" borderId="5" xfId="0" applyFont="1" applyBorder="1" applyAlignment="1">
      <alignment horizontal="center" wrapText="1"/>
    </xf>
    <xf numFmtId="0" fontId="10" fillId="12" borderId="16" xfId="0" applyFont="1" applyFill="1" applyBorder="1" applyAlignment="1">
      <alignment horizontal="center" vertical="center"/>
    </xf>
    <xf numFmtId="0" fontId="10" fillId="12" borderId="6" xfId="0" applyFont="1" applyFill="1" applyBorder="1" applyAlignment="1">
      <alignment horizontal="center" vertical="center"/>
    </xf>
    <xf numFmtId="0" fontId="10" fillId="12" borderId="17" xfId="0" applyFont="1" applyFill="1" applyBorder="1" applyAlignment="1">
      <alignment horizontal="center" vertical="center"/>
    </xf>
    <xf numFmtId="0" fontId="10" fillId="0" borderId="22" xfId="0" applyFont="1" applyBorder="1" applyAlignment="1">
      <alignment horizontal="center" vertical="center" wrapText="1"/>
    </xf>
    <xf numFmtId="0" fontId="10" fillId="0" borderId="23" xfId="0" applyFont="1" applyBorder="1" applyAlignment="1">
      <alignment horizontal="center" vertical="center" wrapText="1"/>
    </xf>
    <xf numFmtId="0" fontId="9" fillId="0" borderId="24" xfId="0" applyFont="1" applyBorder="1" applyAlignment="1">
      <alignment horizontal="center" vertical="center" wrapText="1"/>
    </xf>
    <xf numFmtId="0" fontId="9" fillId="2" borderId="25" xfId="0" applyFont="1" applyFill="1" applyBorder="1" applyAlignment="1">
      <alignment horizontal="center" vertical="center" wrapText="1"/>
    </xf>
    <xf numFmtId="0" fontId="9" fillId="14" borderId="26" xfId="0" applyFont="1" applyFill="1" applyBorder="1" applyAlignment="1">
      <alignment horizontal="center" vertical="center" wrapText="1"/>
    </xf>
    <xf numFmtId="0" fontId="9" fillId="0" borderId="23" xfId="0" applyFont="1" applyBorder="1" applyAlignment="1">
      <alignment horizontal="center" vertical="center" wrapText="1"/>
    </xf>
    <xf numFmtId="0" fontId="10" fillId="0" borderId="23" xfId="0" applyFont="1" applyBorder="1" applyAlignment="1">
      <alignment horizontal="center" vertical="center" wrapText="1"/>
    </xf>
    <xf numFmtId="0" fontId="9" fillId="0" borderId="15" xfId="0" applyFont="1" applyBorder="1" applyAlignment="1">
      <alignment horizontal="center"/>
    </xf>
    <xf numFmtId="0" fontId="9" fillId="0" borderId="0" xfId="0" applyFont="1" applyBorder="1" applyAlignment="1">
      <alignment horizontal="center"/>
    </xf>
    <xf numFmtId="0" fontId="9" fillId="0" borderId="18" xfId="0" applyFont="1" applyBorder="1" applyAlignment="1">
      <alignment horizontal="center"/>
    </xf>
    <xf numFmtId="0" fontId="10" fillId="14" borderId="27" xfId="0" applyFont="1" applyFill="1" applyBorder="1" applyAlignment="1">
      <alignment horizontal="center" vertical="center" wrapText="1"/>
    </xf>
    <xf numFmtId="0" fontId="10" fillId="14" borderId="28" xfId="0" applyFont="1" applyFill="1" applyBorder="1" applyAlignment="1">
      <alignment horizontal="center" vertical="center" wrapText="1"/>
    </xf>
    <xf numFmtId="0" fontId="10" fillId="14" borderId="29" xfId="0" applyFont="1" applyFill="1" applyBorder="1" applyAlignment="1">
      <alignment horizontal="center" vertical="center" wrapText="1"/>
    </xf>
    <xf numFmtId="0" fontId="10" fillId="0" borderId="26" xfId="0" applyFont="1" applyBorder="1" applyAlignment="1">
      <alignment horizontal="center" vertical="center" wrapText="1"/>
    </xf>
    <xf numFmtId="0" fontId="9" fillId="14" borderId="23" xfId="0" applyFont="1" applyFill="1" applyBorder="1" applyAlignment="1">
      <alignment horizontal="center" vertical="center" wrapText="1"/>
    </xf>
    <xf numFmtId="0" fontId="10" fillId="0" borderId="30" xfId="0" applyFont="1" applyBorder="1" applyAlignment="1">
      <alignment horizontal="center" vertical="center" wrapText="1"/>
    </xf>
    <xf numFmtId="0" fontId="9" fillId="15" borderId="31" xfId="0" applyFont="1" applyFill="1" applyBorder="1" applyAlignment="1">
      <alignment horizontal="center" vertical="center" wrapText="1"/>
    </xf>
    <xf numFmtId="0" fontId="9" fillId="16" borderId="31" xfId="0" applyFont="1" applyFill="1" applyBorder="1" applyAlignment="1">
      <alignment horizontal="center" vertical="center" wrapText="1"/>
    </xf>
    <xf numFmtId="0" fontId="9" fillId="17" borderId="31" xfId="0" applyFont="1" applyFill="1" applyBorder="1" applyAlignment="1">
      <alignment horizontal="center" vertical="center" wrapText="1"/>
    </xf>
    <xf numFmtId="0" fontId="9" fillId="18" borderId="31" xfId="0" applyFont="1" applyFill="1" applyBorder="1" applyAlignment="1">
      <alignment horizontal="center" vertical="center" wrapText="1"/>
    </xf>
    <xf numFmtId="0" fontId="9" fillId="19" borderId="31" xfId="0" applyFont="1" applyFill="1" applyBorder="1" applyAlignment="1">
      <alignment horizontal="center" vertical="center" wrapText="1"/>
    </xf>
    <xf numFmtId="0" fontId="9" fillId="20" borderId="31" xfId="0" applyFont="1" applyFill="1" applyBorder="1" applyAlignment="1">
      <alignment horizontal="center" vertical="center" wrapText="1"/>
    </xf>
    <xf numFmtId="0" fontId="9" fillId="14" borderId="19"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0" borderId="12" xfId="0" applyFont="1" applyBorder="1" applyAlignment="1">
      <alignment horizontal="center" vertical="center" wrapText="1"/>
    </xf>
    <xf numFmtId="0" fontId="6" fillId="0" borderId="12" xfId="0" applyFont="1" applyBorder="1" applyAlignment="1">
      <alignment horizontal="center" vertical="center"/>
    </xf>
    <xf numFmtId="0" fontId="12" fillId="21" borderId="35" xfId="0" applyFont="1" applyFill="1" applyBorder="1" applyAlignment="1">
      <alignment horizontal="center"/>
    </xf>
    <xf numFmtId="0" fontId="12" fillId="21" borderId="36" xfId="0" applyFont="1" applyFill="1" applyBorder="1" applyAlignment="1">
      <alignment horizontal="center"/>
    </xf>
    <xf numFmtId="0" fontId="12" fillId="21" borderId="37" xfId="0" applyFont="1" applyFill="1" applyBorder="1"/>
    <xf numFmtId="0" fontId="12" fillId="5" borderId="32" xfId="0" applyFont="1" applyFill="1" applyBorder="1" applyAlignment="1">
      <alignment horizontal="center"/>
    </xf>
    <xf numFmtId="0" fontId="1" fillId="5" borderId="33" xfId="0" applyFont="1" applyFill="1" applyBorder="1" applyAlignment="1">
      <alignment horizontal="center"/>
    </xf>
    <xf numFmtId="0" fontId="1" fillId="5" borderId="38" xfId="0" applyFont="1" applyFill="1" applyBorder="1" applyAlignment="1">
      <alignment horizontal="center"/>
    </xf>
    <xf numFmtId="0" fontId="12" fillId="5" borderId="37" xfId="0" applyFont="1" applyFill="1" applyBorder="1"/>
    <xf numFmtId="0" fontId="10" fillId="11" borderId="0" xfId="0" applyFont="1" applyFill="1" applyBorder="1" applyAlignment="1">
      <alignment horizontal="center" vertical="center" wrapText="1"/>
    </xf>
    <xf numFmtId="0" fontId="10" fillId="11" borderId="39" xfId="0" applyFont="1" applyFill="1" applyBorder="1" applyAlignment="1">
      <alignment horizontal="center" vertical="center" wrapText="1"/>
    </xf>
    <xf numFmtId="0" fontId="10" fillId="11" borderId="40" xfId="0" applyFont="1" applyFill="1" applyBorder="1" applyAlignment="1">
      <alignment horizontal="center" vertical="center" wrapText="1"/>
    </xf>
    <xf numFmtId="0" fontId="10" fillId="11" borderId="41" xfId="0" applyFont="1" applyFill="1" applyBorder="1" applyAlignment="1">
      <alignment horizontal="center" vertical="center" wrapText="1"/>
    </xf>
    <xf numFmtId="0" fontId="10" fillId="11" borderId="42" xfId="0" applyFont="1" applyFill="1" applyBorder="1" applyAlignment="1">
      <alignment horizontal="center" vertical="center" wrapText="1"/>
    </xf>
    <xf numFmtId="0" fontId="10" fillId="11" borderId="43" xfId="0" applyFont="1" applyFill="1" applyBorder="1" applyAlignment="1">
      <alignment horizontal="center" vertical="center" wrapText="1"/>
    </xf>
    <xf numFmtId="0" fontId="10" fillId="11" borderId="44" xfId="0" applyFont="1" applyFill="1" applyBorder="1" applyAlignment="1">
      <alignment horizontal="center" vertical="center" wrapText="1"/>
    </xf>
    <xf numFmtId="0" fontId="10" fillId="11" borderId="45" xfId="0" applyFont="1" applyFill="1" applyBorder="1" applyAlignment="1">
      <alignment horizontal="center" vertical="center" wrapText="1"/>
    </xf>
    <xf numFmtId="0" fontId="10" fillId="11" borderId="46" xfId="0" applyFont="1" applyFill="1" applyBorder="1" applyAlignment="1">
      <alignment horizontal="center" vertical="center" wrapText="1"/>
    </xf>
    <xf numFmtId="0" fontId="1" fillId="5" borderId="32" xfId="0" applyFont="1" applyFill="1" applyBorder="1" applyAlignment="1">
      <alignment horizontal="center"/>
    </xf>
    <xf numFmtId="0" fontId="1" fillId="5" borderId="34" xfId="0" applyFont="1" applyFill="1" applyBorder="1" applyAlignment="1">
      <alignment horizontal="center"/>
    </xf>
    <xf numFmtId="0" fontId="1" fillId="21" borderId="32" xfId="0" applyFont="1" applyFill="1" applyBorder="1" applyAlignment="1">
      <alignment horizontal="center"/>
    </xf>
    <xf numFmtId="0" fontId="1" fillId="21" borderId="33" xfId="0" applyFont="1" applyFill="1" applyBorder="1" applyAlignment="1">
      <alignment horizontal="center"/>
    </xf>
    <xf numFmtId="0" fontId="1" fillId="21" borderId="34" xfId="0" applyFont="1" applyFill="1" applyBorder="1" applyAlignment="1">
      <alignment horizontal="center"/>
    </xf>
    <xf numFmtId="0" fontId="2" fillId="12" borderId="32" xfId="0" applyFont="1" applyFill="1" applyBorder="1" applyAlignment="1">
      <alignment horizontal="center"/>
    </xf>
    <xf numFmtId="0" fontId="2" fillId="12" borderId="33" xfId="0" applyFont="1" applyFill="1" applyBorder="1" applyAlignment="1">
      <alignment horizontal="center"/>
    </xf>
    <xf numFmtId="0" fontId="2" fillId="12" borderId="34" xfId="0" applyFont="1" applyFill="1" applyBorder="1" applyAlignment="1">
      <alignment horizontal="center"/>
    </xf>
    <xf numFmtId="0" fontId="11" fillId="12" borderId="32" xfId="0" applyFont="1" applyFill="1" applyBorder="1" applyAlignment="1">
      <alignment horizontal="center" vertical="center"/>
    </xf>
    <xf numFmtId="0" fontId="11" fillId="12" borderId="34" xfId="0" applyFont="1" applyFill="1" applyBorder="1" applyAlignment="1">
      <alignment horizontal="center" vertical="center"/>
    </xf>
  </cellXfs>
  <cellStyles count="1">
    <cellStyle name="Normal" xfId="0" builtinId="0"/>
  </cellStyles>
  <dxfs count="0"/>
  <tableStyles count="0" defaultTableStyle="TableStyleMedium2" defaultPivotStyle="PivotStyleMedium9"/>
  <colors>
    <mruColors>
      <color rgb="FFFF5757"/>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06"/>
  <sheetViews>
    <sheetView tabSelected="1" topLeftCell="B88" zoomScale="60" zoomScaleNormal="60" workbookViewId="0">
      <selection activeCell="AG100" sqref="AG100"/>
    </sheetView>
  </sheetViews>
  <sheetFormatPr baseColWidth="10" defaultColWidth="8.88671875" defaultRowHeight="14.4" x14ac:dyDescent="0.3"/>
  <cols>
    <col min="1" max="1" width="16.44140625" bestFit="1" customWidth="1"/>
    <col min="2" max="2" width="15.88671875" customWidth="1"/>
    <col min="14" max="14" width="15.6640625" bestFit="1" customWidth="1"/>
    <col min="20" max="20" width="10" customWidth="1"/>
    <col min="21" max="21" width="9.88671875" customWidth="1"/>
    <col min="22" max="22" width="16.44140625" customWidth="1"/>
    <col min="23" max="23" width="16.5546875" customWidth="1"/>
    <col min="24" max="24" width="19" bestFit="1" customWidth="1"/>
    <col min="34" max="34" width="12.33203125" bestFit="1" customWidth="1"/>
  </cols>
  <sheetData>
    <row r="1" spans="1:34" x14ac:dyDescent="0.3">
      <c r="A1" s="8" t="s">
        <v>0</v>
      </c>
      <c r="B1" s="9"/>
      <c r="C1" s="9"/>
      <c r="D1" s="9"/>
      <c r="E1" s="9"/>
      <c r="F1" s="9"/>
      <c r="G1" s="9"/>
      <c r="H1" s="9"/>
      <c r="I1" s="9"/>
      <c r="J1" s="9"/>
      <c r="K1" s="9"/>
      <c r="L1" s="10"/>
      <c r="M1" s="1"/>
      <c r="W1" s="8" t="s">
        <v>0</v>
      </c>
      <c r="X1" s="9"/>
      <c r="Y1" s="9"/>
      <c r="Z1" s="9"/>
      <c r="AA1" s="9"/>
      <c r="AB1" s="9"/>
      <c r="AC1" s="9"/>
      <c r="AD1" s="9"/>
      <c r="AE1" s="9"/>
      <c r="AF1" s="9"/>
      <c r="AG1" s="9"/>
      <c r="AH1" s="10"/>
    </row>
    <row r="2" spans="1:34" x14ac:dyDescent="0.3">
      <c r="A2" s="41" t="s">
        <v>1</v>
      </c>
      <c r="B2" s="42"/>
      <c r="C2" s="42"/>
      <c r="D2" s="42"/>
      <c r="E2" s="42"/>
      <c r="F2" s="42"/>
      <c r="G2" s="42"/>
      <c r="H2" s="42"/>
      <c r="I2" s="42"/>
      <c r="J2" s="42"/>
      <c r="K2" s="42"/>
      <c r="L2" s="43"/>
      <c r="M2" s="1"/>
      <c r="N2" s="77" t="s">
        <v>143</v>
      </c>
      <c r="O2" s="77"/>
      <c r="P2" s="77"/>
      <c r="Q2" s="77"/>
      <c r="R2" s="77"/>
      <c r="S2" s="77"/>
      <c r="T2" s="77"/>
      <c r="U2" s="77"/>
      <c r="W2" s="38" t="s">
        <v>174</v>
      </c>
      <c r="X2" s="39"/>
      <c r="Y2" s="39"/>
      <c r="Z2" s="39"/>
      <c r="AA2" s="39"/>
      <c r="AB2" s="39"/>
      <c r="AC2" s="39"/>
      <c r="AD2" s="39"/>
      <c r="AE2" s="39"/>
      <c r="AF2" s="39"/>
      <c r="AG2" s="39"/>
      <c r="AH2" s="40"/>
    </row>
    <row r="3" spans="1:34" x14ac:dyDescent="0.3">
      <c r="A3" s="6" t="s">
        <v>140</v>
      </c>
      <c r="B3" s="6" t="s">
        <v>141</v>
      </c>
      <c r="C3" s="6" t="s">
        <v>142</v>
      </c>
      <c r="D3" s="8" t="s">
        <v>2</v>
      </c>
      <c r="E3" s="9"/>
      <c r="F3" s="9"/>
      <c r="G3" s="9"/>
      <c r="H3" s="9"/>
      <c r="I3" s="9"/>
      <c r="J3" s="9"/>
      <c r="K3" s="10"/>
      <c r="L3" s="3" t="s">
        <v>139</v>
      </c>
      <c r="N3" s="37" t="s">
        <v>146</v>
      </c>
      <c r="O3" s="37"/>
      <c r="P3" s="37"/>
      <c r="Q3" s="37"/>
      <c r="R3" s="37"/>
      <c r="S3" s="37"/>
      <c r="T3" s="37"/>
      <c r="U3" s="44">
        <v>2</v>
      </c>
      <c r="W3" s="6" t="s">
        <v>140</v>
      </c>
      <c r="X3" s="6" t="s">
        <v>141</v>
      </c>
      <c r="Y3" s="6" t="s">
        <v>142</v>
      </c>
      <c r="Z3" s="8" t="s">
        <v>2</v>
      </c>
      <c r="AA3" s="9"/>
      <c r="AB3" s="9"/>
      <c r="AC3" s="9"/>
      <c r="AD3" s="9"/>
      <c r="AE3" s="9"/>
      <c r="AF3" s="9"/>
      <c r="AG3" s="10"/>
      <c r="AH3" s="3" t="s">
        <v>139</v>
      </c>
    </row>
    <row r="4" spans="1:34" x14ac:dyDescent="0.3">
      <c r="A4" s="6"/>
      <c r="B4" s="6"/>
      <c r="C4" s="6"/>
      <c r="D4" s="6" t="s">
        <v>136</v>
      </c>
      <c r="E4" s="6" t="s">
        <v>181</v>
      </c>
      <c r="F4" s="6" t="s">
        <v>182</v>
      </c>
      <c r="G4" s="6" t="s">
        <v>137</v>
      </c>
      <c r="H4" s="6" t="s">
        <v>151</v>
      </c>
      <c r="I4" s="6"/>
      <c r="J4" s="6"/>
      <c r="K4" s="6"/>
      <c r="L4" s="4"/>
      <c r="N4" s="37" t="s">
        <v>147</v>
      </c>
      <c r="O4" s="37"/>
      <c r="P4" s="37"/>
      <c r="Q4" s="37"/>
      <c r="R4" s="37"/>
      <c r="S4" s="37"/>
      <c r="T4" s="37"/>
      <c r="U4" s="44">
        <v>1.5</v>
      </c>
      <c r="W4" s="6"/>
      <c r="X4" s="6"/>
      <c r="Y4" s="6"/>
      <c r="Z4" s="6" t="s">
        <v>136</v>
      </c>
      <c r="AA4" s="6" t="s">
        <v>181</v>
      </c>
      <c r="AB4" s="6" t="s">
        <v>182</v>
      </c>
      <c r="AC4" s="6" t="s">
        <v>137</v>
      </c>
      <c r="AD4" s="6" t="s">
        <v>151</v>
      </c>
      <c r="AE4" s="6"/>
      <c r="AF4" s="6"/>
      <c r="AG4" s="6"/>
      <c r="AH4" s="4"/>
    </row>
    <row r="5" spans="1:34" x14ac:dyDescent="0.3">
      <c r="A5" s="6"/>
      <c r="B5" s="6"/>
      <c r="C5" s="6"/>
      <c r="D5" s="6"/>
      <c r="E5" s="6"/>
      <c r="F5" s="6"/>
      <c r="G5" s="6"/>
      <c r="H5" s="7" t="s">
        <v>143</v>
      </c>
      <c r="I5" s="7" t="s">
        <v>144</v>
      </c>
      <c r="J5" s="7" t="s">
        <v>145</v>
      </c>
      <c r="K5" s="7" t="s">
        <v>138</v>
      </c>
      <c r="L5" s="5"/>
      <c r="N5" s="31" t="s">
        <v>148</v>
      </c>
      <c r="O5" s="31"/>
      <c r="P5" s="31"/>
      <c r="Q5" s="31"/>
      <c r="R5" s="31"/>
      <c r="S5" s="31"/>
      <c r="T5" s="31"/>
      <c r="U5" s="44">
        <v>1</v>
      </c>
      <c r="W5" s="6"/>
      <c r="X5" s="6"/>
      <c r="Y5" s="6"/>
      <c r="Z5" s="6"/>
      <c r="AA5" s="6"/>
      <c r="AB5" s="6"/>
      <c r="AC5" s="6"/>
      <c r="AD5" s="7" t="s">
        <v>143</v>
      </c>
      <c r="AE5" s="7" t="s">
        <v>144</v>
      </c>
      <c r="AF5" s="7" t="s">
        <v>145</v>
      </c>
      <c r="AG5" s="7" t="s">
        <v>138</v>
      </c>
      <c r="AH5" s="5"/>
    </row>
    <row r="6" spans="1:34" x14ac:dyDescent="0.3">
      <c r="A6" s="11"/>
      <c r="B6" s="12"/>
      <c r="C6" s="12"/>
      <c r="D6" s="13" t="s">
        <v>135</v>
      </c>
      <c r="E6" s="13"/>
      <c r="F6" s="13"/>
      <c r="G6" s="13"/>
      <c r="H6" s="14"/>
      <c r="I6" s="14"/>
      <c r="J6" s="14"/>
      <c r="K6" s="14"/>
      <c r="L6" s="15"/>
      <c r="N6" s="37" t="s">
        <v>149</v>
      </c>
      <c r="O6" s="37"/>
      <c r="P6" s="37"/>
      <c r="Q6" s="37"/>
      <c r="R6" s="37"/>
      <c r="S6" s="37"/>
      <c r="T6" s="37"/>
      <c r="U6" s="44">
        <v>0.5</v>
      </c>
      <c r="W6" s="11"/>
      <c r="X6" s="12"/>
      <c r="Y6" s="12"/>
      <c r="Z6" s="13" t="s">
        <v>135</v>
      </c>
      <c r="AA6" s="13"/>
      <c r="AB6" s="13"/>
      <c r="AC6" s="13"/>
      <c r="AD6" s="14"/>
      <c r="AE6" s="14"/>
      <c r="AF6" s="14"/>
      <c r="AG6" s="14"/>
      <c r="AH6" s="15"/>
    </row>
    <row r="7" spans="1:34" x14ac:dyDescent="0.3">
      <c r="A7" s="20" t="s">
        <v>3</v>
      </c>
      <c r="B7" s="2" t="s">
        <v>4</v>
      </c>
      <c r="C7" s="21"/>
      <c r="D7" s="2">
        <v>0.25</v>
      </c>
      <c r="E7" s="21"/>
      <c r="F7" s="21"/>
      <c r="G7" s="21">
        <f>PRODUCT(C7,D7,E7,F7)</f>
        <v>0.25</v>
      </c>
      <c r="H7" s="21"/>
      <c r="I7" s="21"/>
      <c r="J7" s="21"/>
      <c r="K7" s="21">
        <f>PRODUCT(H7:J7)</f>
        <v>0</v>
      </c>
      <c r="L7" s="21">
        <f>PRODUCT(G7,K7)</f>
        <v>0</v>
      </c>
      <c r="N7" s="37" t="s">
        <v>150</v>
      </c>
      <c r="O7" s="37"/>
      <c r="P7" s="37"/>
      <c r="Q7" s="37"/>
      <c r="R7" s="37"/>
      <c r="S7" s="37"/>
      <c r="T7" s="37"/>
      <c r="U7" s="44">
        <v>0.2</v>
      </c>
      <c r="W7" s="20" t="s">
        <v>3</v>
      </c>
      <c r="X7" s="2" t="s">
        <v>4</v>
      </c>
      <c r="Y7" s="21"/>
      <c r="Z7" s="2">
        <v>0.25</v>
      </c>
      <c r="AA7" s="21"/>
      <c r="AB7" s="21"/>
      <c r="AC7" s="21">
        <f>PRODUCT(Y7,Z7,AA7,AB7)</f>
        <v>0.25</v>
      </c>
      <c r="AD7" s="21"/>
      <c r="AE7" s="21"/>
      <c r="AF7" s="21"/>
      <c r="AG7" s="21">
        <f>PRODUCT(AD7:AF7)</f>
        <v>0</v>
      </c>
      <c r="AH7" s="21">
        <f>PRODUCT(AC7,AG7)</f>
        <v>0</v>
      </c>
    </row>
    <row r="8" spans="1:34" x14ac:dyDescent="0.3">
      <c r="A8" s="20" t="s">
        <v>5</v>
      </c>
      <c r="B8" s="2" t="s">
        <v>6</v>
      </c>
      <c r="C8" s="21"/>
      <c r="D8" s="2">
        <v>0.33</v>
      </c>
      <c r="E8" s="21"/>
      <c r="F8" s="21"/>
      <c r="G8" s="21">
        <f t="shared" ref="G8:G39" si="0">PRODUCT(C8,D8,E8,F8)</f>
        <v>0.33</v>
      </c>
      <c r="H8" s="21"/>
      <c r="I8" s="21"/>
      <c r="J8" s="21"/>
      <c r="K8" s="21">
        <f t="shared" ref="K8:K39" si="1">PRODUCT(H8:J8)</f>
        <v>0</v>
      </c>
      <c r="L8" s="21">
        <f t="shared" ref="L8:L39" si="2">PRODUCT(G8,K8)</f>
        <v>0</v>
      </c>
      <c r="N8" s="32"/>
      <c r="O8" s="32"/>
      <c r="P8" s="32"/>
      <c r="Q8" s="32"/>
      <c r="R8" s="32"/>
      <c r="S8" s="32"/>
      <c r="T8" s="32"/>
      <c r="U8" s="32"/>
      <c r="W8" s="20" t="s">
        <v>5</v>
      </c>
      <c r="X8" s="2" t="s">
        <v>6</v>
      </c>
      <c r="Y8" s="21"/>
      <c r="Z8" s="2">
        <v>0.33</v>
      </c>
      <c r="AA8" s="21"/>
      <c r="AB8" s="21"/>
      <c r="AC8" s="21">
        <f t="shared" ref="AC8:AC39" si="3">PRODUCT(Y8,Z8,AA8,AB8)</f>
        <v>0.33</v>
      </c>
      <c r="AD8" s="21"/>
      <c r="AE8" s="21"/>
      <c r="AF8" s="21"/>
      <c r="AG8" s="21">
        <f t="shared" ref="AG8:AG39" si="4">PRODUCT(AD8:AF8)</f>
        <v>0</v>
      </c>
      <c r="AH8" s="21">
        <f t="shared" ref="AH8:AH39" si="5">PRODUCT(AC8,AG8)</f>
        <v>0</v>
      </c>
    </row>
    <row r="9" spans="1:34" x14ac:dyDescent="0.3">
      <c r="A9" s="20" t="s">
        <v>7</v>
      </c>
      <c r="B9" s="2" t="s">
        <v>6</v>
      </c>
      <c r="C9" s="21"/>
      <c r="D9" s="2">
        <v>0.33</v>
      </c>
      <c r="E9" s="21"/>
      <c r="F9" s="21"/>
      <c r="G9" s="21">
        <f t="shared" si="0"/>
        <v>0.33</v>
      </c>
      <c r="H9" s="21"/>
      <c r="I9" s="21"/>
      <c r="J9" s="21"/>
      <c r="K9" s="21">
        <f t="shared" si="1"/>
        <v>0</v>
      </c>
      <c r="L9" s="21">
        <f t="shared" si="2"/>
        <v>0</v>
      </c>
      <c r="N9" s="75" t="s">
        <v>144</v>
      </c>
      <c r="O9" s="75"/>
      <c r="P9" s="75"/>
      <c r="Q9" s="75"/>
      <c r="R9" s="75"/>
      <c r="S9" s="75"/>
      <c r="T9" s="75"/>
      <c r="U9" s="75"/>
      <c r="W9" s="20" t="s">
        <v>7</v>
      </c>
      <c r="X9" s="2" t="s">
        <v>6</v>
      </c>
      <c r="Y9" s="21"/>
      <c r="Z9" s="2">
        <v>0.33</v>
      </c>
      <c r="AA9" s="21"/>
      <c r="AB9" s="21"/>
      <c r="AC9" s="21">
        <f t="shared" si="3"/>
        <v>0.33</v>
      </c>
      <c r="AD9" s="21"/>
      <c r="AE9" s="21"/>
      <c r="AF9" s="21"/>
      <c r="AG9" s="21">
        <f t="shared" si="4"/>
        <v>0</v>
      </c>
      <c r="AH9" s="21">
        <f t="shared" si="5"/>
        <v>0</v>
      </c>
    </row>
    <row r="10" spans="1:34" x14ac:dyDescent="0.3">
      <c r="A10" s="20" t="s">
        <v>8</v>
      </c>
      <c r="B10" s="2" t="s">
        <v>6</v>
      </c>
      <c r="C10" s="21"/>
      <c r="D10" s="2">
        <v>0.45</v>
      </c>
      <c r="E10" s="21"/>
      <c r="F10" s="21"/>
      <c r="G10" s="21">
        <f t="shared" si="0"/>
        <v>0.45</v>
      </c>
      <c r="H10" s="21"/>
      <c r="I10" s="21"/>
      <c r="J10" s="21"/>
      <c r="K10" s="21">
        <f t="shared" si="1"/>
        <v>0</v>
      </c>
      <c r="L10" s="21">
        <f t="shared" si="2"/>
        <v>0</v>
      </c>
      <c r="N10" s="37" t="s">
        <v>152</v>
      </c>
      <c r="O10" s="37"/>
      <c r="P10" s="37"/>
      <c r="Q10" s="37"/>
      <c r="R10" s="37"/>
      <c r="S10" s="37"/>
      <c r="T10" s="37"/>
      <c r="U10" s="44">
        <v>1</v>
      </c>
      <c r="W10" s="20" t="s">
        <v>8</v>
      </c>
      <c r="X10" s="2" t="s">
        <v>6</v>
      </c>
      <c r="Y10" s="21"/>
      <c r="Z10" s="2">
        <v>0.45</v>
      </c>
      <c r="AA10" s="21"/>
      <c r="AB10" s="21"/>
      <c r="AC10" s="21">
        <f t="shared" si="3"/>
        <v>0.45</v>
      </c>
      <c r="AD10" s="21"/>
      <c r="AE10" s="21"/>
      <c r="AF10" s="21"/>
      <c r="AG10" s="21">
        <f t="shared" si="4"/>
        <v>0</v>
      </c>
      <c r="AH10" s="21">
        <f t="shared" si="5"/>
        <v>0</v>
      </c>
    </row>
    <row r="11" spans="1:34" x14ac:dyDescent="0.3">
      <c r="A11" s="20" t="s">
        <v>9</v>
      </c>
      <c r="B11" s="2" t="s">
        <v>6</v>
      </c>
      <c r="C11" s="21"/>
      <c r="D11" s="2">
        <v>0.45</v>
      </c>
      <c r="E11" s="21"/>
      <c r="F11" s="21"/>
      <c r="G11" s="21">
        <f t="shared" si="0"/>
        <v>0.45</v>
      </c>
      <c r="H11" s="21"/>
      <c r="I11" s="21"/>
      <c r="J11" s="21"/>
      <c r="K11" s="21">
        <f t="shared" si="1"/>
        <v>0</v>
      </c>
      <c r="L11" s="21">
        <f t="shared" si="2"/>
        <v>0</v>
      </c>
      <c r="N11" s="37" t="s">
        <v>153</v>
      </c>
      <c r="O11" s="37"/>
      <c r="P11" s="37"/>
      <c r="Q11" s="37"/>
      <c r="R11" s="37"/>
      <c r="S11" s="37"/>
      <c r="T11" s="37"/>
      <c r="U11" s="44">
        <v>0.5</v>
      </c>
      <c r="W11" s="20" t="s">
        <v>9</v>
      </c>
      <c r="X11" s="2" t="s">
        <v>6</v>
      </c>
      <c r="Y11" s="21"/>
      <c r="Z11" s="2">
        <v>0.45</v>
      </c>
      <c r="AA11" s="21"/>
      <c r="AB11" s="21"/>
      <c r="AC11" s="21">
        <f t="shared" si="3"/>
        <v>0.45</v>
      </c>
      <c r="AD11" s="21"/>
      <c r="AE11" s="21"/>
      <c r="AF11" s="21"/>
      <c r="AG11" s="21">
        <f t="shared" si="4"/>
        <v>0</v>
      </c>
      <c r="AH11" s="21">
        <f t="shared" si="5"/>
        <v>0</v>
      </c>
    </row>
    <row r="12" spans="1:34" ht="21.6" x14ac:dyDescent="0.3">
      <c r="A12" s="20" t="s">
        <v>10</v>
      </c>
      <c r="B12" s="2" t="s">
        <v>6</v>
      </c>
      <c r="C12" s="21"/>
      <c r="D12" s="2">
        <v>0.4</v>
      </c>
      <c r="E12" s="21"/>
      <c r="F12" s="21"/>
      <c r="G12" s="21">
        <f t="shared" si="0"/>
        <v>0.4</v>
      </c>
      <c r="H12" s="21"/>
      <c r="I12" s="21"/>
      <c r="J12" s="21"/>
      <c r="K12" s="21">
        <f t="shared" si="1"/>
        <v>0</v>
      </c>
      <c r="L12" s="21">
        <f t="shared" si="2"/>
        <v>0</v>
      </c>
      <c r="N12" s="37" t="s">
        <v>154</v>
      </c>
      <c r="O12" s="37"/>
      <c r="P12" s="37"/>
      <c r="Q12" s="37"/>
      <c r="R12" s="37"/>
      <c r="S12" s="37"/>
      <c r="T12" s="37"/>
      <c r="U12" s="44">
        <v>0.1</v>
      </c>
      <c r="W12" s="20" t="s">
        <v>10</v>
      </c>
      <c r="X12" s="2" t="s">
        <v>6</v>
      </c>
      <c r="Y12" s="21"/>
      <c r="Z12" s="2">
        <v>0.4</v>
      </c>
      <c r="AA12" s="21"/>
      <c r="AB12" s="21"/>
      <c r="AC12" s="21">
        <f t="shared" si="3"/>
        <v>0.4</v>
      </c>
      <c r="AD12" s="21"/>
      <c r="AE12" s="21"/>
      <c r="AF12" s="21"/>
      <c r="AG12" s="21">
        <f t="shared" si="4"/>
        <v>0</v>
      </c>
      <c r="AH12" s="21">
        <f t="shared" si="5"/>
        <v>0</v>
      </c>
    </row>
    <row r="13" spans="1:34" ht="32.4" customHeight="1" x14ac:dyDescent="0.3">
      <c r="A13" s="20" t="s">
        <v>11</v>
      </c>
      <c r="B13" s="2" t="s">
        <v>12</v>
      </c>
      <c r="C13" s="21"/>
      <c r="D13" s="2">
        <v>0.5</v>
      </c>
      <c r="E13" s="21"/>
      <c r="F13" s="21"/>
      <c r="G13" s="21">
        <f t="shared" si="0"/>
        <v>0.5</v>
      </c>
      <c r="H13" s="21"/>
      <c r="I13" s="21"/>
      <c r="J13" s="21"/>
      <c r="K13" s="21">
        <f t="shared" si="1"/>
        <v>0</v>
      </c>
      <c r="L13" s="21">
        <f t="shared" si="2"/>
        <v>0</v>
      </c>
      <c r="N13" s="33" t="s">
        <v>156</v>
      </c>
      <c r="O13" s="33"/>
      <c r="P13" s="33"/>
      <c r="Q13" s="33"/>
      <c r="R13" s="33"/>
      <c r="S13" s="33"/>
      <c r="T13" s="33"/>
      <c r="U13" s="33"/>
      <c r="W13" s="20" t="s">
        <v>11</v>
      </c>
      <c r="X13" s="2" t="s">
        <v>12</v>
      </c>
      <c r="Y13" s="21"/>
      <c r="Z13" s="2">
        <v>0.5</v>
      </c>
      <c r="AA13" s="21"/>
      <c r="AB13" s="21"/>
      <c r="AC13" s="21">
        <f t="shared" si="3"/>
        <v>0.5</v>
      </c>
      <c r="AD13" s="21"/>
      <c r="AE13" s="21"/>
      <c r="AF13" s="21"/>
      <c r="AG13" s="21">
        <f t="shared" si="4"/>
        <v>0</v>
      </c>
      <c r="AH13" s="21">
        <f t="shared" si="5"/>
        <v>0</v>
      </c>
    </row>
    <row r="14" spans="1:34" ht="21.6" customHeight="1" x14ac:dyDescent="0.3">
      <c r="A14" s="20" t="s">
        <v>13</v>
      </c>
      <c r="B14" s="2" t="s">
        <v>6</v>
      </c>
      <c r="C14" s="21"/>
      <c r="D14" s="2">
        <v>0.6</v>
      </c>
      <c r="E14" s="21"/>
      <c r="F14" s="21"/>
      <c r="G14" s="21">
        <f t="shared" si="0"/>
        <v>0.6</v>
      </c>
      <c r="H14" s="21"/>
      <c r="I14" s="21"/>
      <c r="J14" s="21"/>
      <c r="K14" s="21">
        <f t="shared" si="1"/>
        <v>0</v>
      </c>
      <c r="L14" s="21">
        <f t="shared" si="2"/>
        <v>0</v>
      </c>
      <c r="N14" s="33" t="s">
        <v>155</v>
      </c>
      <c r="O14" s="33"/>
      <c r="P14" s="33"/>
      <c r="Q14" s="33"/>
      <c r="R14" s="33"/>
      <c r="S14" s="33"/>
      <c r="T14" s="33"/>
      <c r="U14" s="33"/>
      <c r="W14" s="20" t="s">
        <v>13</v>
      </c>
      <c r="X14" s="2" t="s">
        <v>6</v>
      </c>
      <c r="Y14" s="21"/>
      <c r="Z14" s="2">
        <v>0.6</v>
      </c>
      <c r="AA14" s="21"/>
      <c r="AB14" s="21"/>
      <c r="AC14" s="21">
        <f t="shared" si="3"/>
        <v>0.6</v>
      </c>
      <c r="AD14" s="21"/>
      <c r="AE14" s="21"/>
      <c r="AF14" s="21"/>
      <c r="AG14" s="21">
        <f t="shared" si="4"/>
        <v>0</v>
      </c>
      <c r="AH14" s="21">
        <f t="shared" si="5"/>
        <v>0</v>
      </c>
    </row>
    <row r="15" spans="1:34" ht="32.4" x14ac:dyDescent="0.3">
      <c r="A15" s="20" t="s">
        <v>14</v>
      </c>
      <c r="B15" s="2" t="s">
        <v>6</v>
      </c>
      <c r="C15" s="21"/>
      <c r="D15" s="2">
        <v>0.7</v>
      </c>
      <c r="E15" s="21"/>
      <c r="F15" s="21"/>
      <c r="G15" s="21">
        <f t="shared" si="0"/>
        <v>0.7</v>
      </c>
      <c r="H15" s="21"/>
      <c r="I15" s="21"/>
      <c r="J15" s="21"/>
      <c r="K15" s="21">
        <f t="shared" si="1"/>
        <v>0</v>
      </c>
      <c r="L15" s="21">
        <f t="shared" si="2"/>
        <v>0</v>
      </c>
      <c r="N15" s="76" t="s">
        <v>169</v>
      </c>
      <c r="O15" s="76"/>
      <c r="P15" s="76"/>
      <c r="Q15" s="76"/>
      <c r="R15" s="76"/>
      <c r="S15" s="76"/>
      <c r="T15" s="76"/>
      <c r="U15" s="76"/>
      <c r="W15" s="20" t="s">
        <v>14</v>
      </c>
      <c r="X15" s="2" t="s">
        <v>6</v>
      </c>
      <c r="Y15" s="21"/>
      <c r="Z15" s="2">
        <v>0.7</v>
      </c>
      <c r="AA15" s="21"/>
      <c r="AB15" s="21"/>
      <c r="AC15" s="21">
        <f t="shared" si="3"/>
        <v>0.7</v>
      </c>
      <c r="AD15" s="21"/>
      <c r="AE15" s="21"/>
      <c r="AF15" s="21"/>
      <c r="AG15" s="21">
        <f t="shared" si="4"/>
        <v>0</v>
      </c>
      <c r="AH15" s="21">
        <f t="shared" si="5"/>
        <v>0</v>
      </c>
    </row>
    <row r="16" spans="1:34" ht="21.6" x14ac:dyDescent="0.3">
      <c r="A16" s="20" t="s">
        <v>15</v>
      </c>
      <c r="B16" s="2" t="s">
        <v>6</v>
      </c>
      <c r="C16" s="21"/>
      <c r="D16" s="2">
        <v>1</v>
      </c>
      <c r="E16" s="21"/>
      <c r="F16" s="21"/>
      <c r="G16" s="21">
        <f t="shared" si="0"/>
        <v>1</v>
      </c>
      <c r="H16" s="21"/>
      <c r="I16" s="21"/>
      <c r="J16" s="21"/>
      <c r="K16" s="21">
        <f t="shared" si="1"/>
        <v>0</v>
      </c>
      <c r="L16" s="21">
        <f t="shared" si="2"/>
        <v>0</v>
      </c>
      <c r="N16" s="37" t="s">
        <v>170</v>
      </c>
      <c r="O16" s="37"/>
      <c r="P16" s="37"/>
      <c r="Q16" s="37"/>
      <c r="R16" s="37"/>
      <c r="S16" s="37"/>
      <c r="T16" s="37"/>
      <c r="U16" s="37"/>
      <c r="W16" s="20" t="s">
        <v>15</v>
      </c>
      <c r="X16" s="2" t="s">
        <v>6</v>
      </c>
      <c r="Y16" s="21"/>
      <c r="Z16" s="2">
        <v>1</v>
      </c>
      <c r="AA16" s="21"/>
      <c r="AB16" s="21"/>
      <c r="AC16" s="21">
        <f t="shared" si="3"/>
        <v>1</v>
      </c>
      <c r="AD16" s="21"/>
      <c r="AE16" s="21"/>
      <c r="AF16" s="21"/>
      <c r="AG16" s="21">
        <f t="shared" si="4"/>
        <v>0</v>
      </c>
      <c r="AH16" s="21">
        <f t="shared" si="5"/>
        <v>0</v>
      </c>
    </row>
    <row r="17" spans="1:34" ht="21.6" x14ac:dyDescent="0.3">
      <c r="A17" s="20" t="s">
        <v>16</v>
      </c>
      <c r="B17" s="2" t="s">
        <v>6</v>
      </c>
      <c r="C17" s="21"/>
      <c r="D17" s="2">
        <v>1.2</v>
      </c>
      <c r="E17" s="21"/>
      <c r="F17" s="21"/>
      <c r="G17" s="21">
        <f t="shared" si="0"/>
        <v>1.2</v>
      </c>
      <c r="H17" s="21"/>
      <c r="I17" s="21"/>
      <c r="J17" s="21"/>
      <c r="K17" s="21">
        <f t="shared" si="1"/>
        <v>0</v>
      </c>
      <c r="L17" s="21">
        <f t="shared" si="2"/>
        <v>0</v>
      </c>
      <c r="N17" s="37" t="s">
        <v>171</v>
      </c>
      <c r="O17" s="37"/>
      <c r="P17" s="37"/>
      <c r="Q17" s="37"/>
      <c r="R17" s="37"/>
      <c r="S17" s="37"/>
      <c r="T17" s="37"/>
      <c r="U17" s="37"/>
      <c r="W17" s="20" t="s">
        <v>16</v>
      </c>
      <c r="X17" s="2" t="s">
        <v>6</v>
      </c>
      <c r="Y17" s="21"/>
      <c r="Z17" s="2">
        <v>1.2</v>
      </c>
      <c r="AA17" s="21"/>
      <c r="AB17" s="21"/>
      <c r="AC17" s="21">
        <f t="shared" si="3"/>
        <v>1.2</v>
      </c>
      <c r="AD17" s="21"/>
      <c r="AE17" s="21"/>
      <c r="AF17" s="21"/>
      <c r="AG17" s="21">
        <f t="shared" si="4"/>
        <v>0</v>
      </c>
      <c r="AH17" s="21">
        <f t="shared" si="5"/>
        <v>0</v>
      </c>
    </row>
    <row r="18" spans="1:34" ht="32.4" x14ac:dyDescent="0.3">
      <c r="A18" s="20" t="s">
        <v>17</v>
      </c>
      <c r="B18" s="2" t="s">
        <v>6</v>
      </c>
      <c r="C18" s="21"/>
      <c r="D18" s="2">
        <v>0.7</v>
      </c>
      <c r="E18" s="21"/>
      <c r="F18" s="21"/>
      <c r="G18" s="21">
        <f t="shared" si="0"/>
        <v>0.7</v>
      </c>
      <c r="H18" s="21"/>
      <c r="I18" s="21"/>
      <c r="J18" s="21"/>
      <c r="K18" s="21">
        <f t="shared" si="1"/>
        <v>0</v>
      </c>
      <c r="L18" s="21">
        <f t="shared" si="2"/>
        <v>0</v>
      </c>
      <c r="N18" s="37" t="s">
        <v>172</v>
      </c>
      <c r="O18" s="37"/>
      <c r="P18" s="37"/>
      <c r="Q18" s="37"/>
      <c r="R18" s="37"/>
      <c r="S18" s="37"/>
      <c r="T18" s="37"/>
      <c r="U18" s="37"/>
      <c r="W18" s="20" t="s">
        <v>17</v>
      </c>
      <c r="X18" s="2" t="s">
        <v>6</v>
      </c>
      <c r="Y18" s="21"/>
      <c r="Z18" s="2">
        <v>0.7</v>
      </c>
      <c r="AA18" s="21"/>
      <c r="AB18" s="21"/>
      <c r="AC18" s="21">
        <f t="shared" si="3"/>
        <v>0.7</v>
      </c>
      <c r="AD18" s="21"/>
      <c r="AE18" s="21"/>
      <c r="AF18" s="21"/>
      <c r="AG18" s="21">
        <f t="shared" si="4"/>
        <v>0</v>
      </c>
      <c r="AH18" s="21">
        <f t="shared" si="5"/>
        <v>0</v>
      </c>
    </row>
    <row r="19" spans="1:34" ht="21.6" customHeight="1" x14ac:dyDescent="0.3">
      <c r="A19" s="20" t="s">
        <v>18</v>
      </c>
      <c r="B19" s="2" t="s">
        <v>6</v>
      </c>
      <c r="C19" s="21"/>
      <c r="D19" s="2">
        <v>0.75</v>
      </c>
      <c r="E19" s="21"/>
      <c r="F19" s="21"/>
      <c r="G19" s="21">
        <f t="shared" si="0"/>
        <v>0.75</v>
      </c>
      <c r="H19" s="21"/>
      <c r="I19" s="21"/>
      <c r="J19" s="21"/>
      <c r="K19" s="21">
        <f t="shared" si="1"/>
        <v>0</v>
      </c>
      <c r="L19" s="21">
        <f t="shared" si="2"/>
        <v>0</v>
      </c>
      <c r="N19" s="33" t="s">
        <v>173</v>
      </c>
      <c r="O19" s="33"/>
      <c r="P19" s="33"/>
      <c r="Q19" s="33"/>
      <c r="R19" s="33"/>
      <c r="S19" s="33"/>
      <c r="T19" s="33"/>
      <c r="U19" s="33"/>
      <c r="W19" s="20" t="s">
        <v>18</v>
      </c>
      <c r="X19" s="2" t="s">
        <v>6</v>
      </c>
      <c r="Y19" s="21"/>
      <c r="Z19" s="2">
        <v>0.75</v>
      </c>
      <c r="AA19" s="21"/>
      <c r="AB19" s="21"/>
      <c r="AC19" s="21">
        <f t="shared" si="3"/>
        <v>0.75</v>
      </c>
      <c r="AD19" s="21"/>
      <c r="AE19" s="21"/>
      <c r="AF19" s="21"/>
      <c r="AG19" s="21">
        <f t="shared" si="4"/>
        <v>0</v>
      </c>
      <c r="AH19" s="21">
        <f t="shared" si="5"/>
        <v>0</v>
      </c>
    </row>
    <row r="20" spans="1:34" ht="43.2" x14ac:dyDescent="0.3">
      <c r="A20" s="20" t="s">
        <v>19</v>
      </c>
      <c r="B20" s="2" t="s">
        <v>6</v>
      </c>
      <c r="C20" s="21"/>
      <c r="D20" s="2">
        <v>0.85</v>
      </c>
      <c r="E20" s="21"/>
      <c r="F20" s="21"/>
      <c r="G20" s="21">
        <f t="shared" si="0"/>
        <v>0.85</v>
      </c>
      <c r="H20" s="21"/>
      <c r="I20" s="21"/>
      <c r="J20" s="21"/>
      <c r="K20" s="21">
        <f t="shared" si="1"/>
        <v>0</v>
      </c>
      <c r="L20" s="21">
        <f t="shared" si="2"/>
        <v>0</v>
      </c>
      <c r="N20" s="33"/>
      <c r="O20" s="33"/>
      <c r="P20" s="33"/>
      <c r="Q20" s="33"/>
      <c r="R20" s="33"/>
      <c r="S20" s="33"/>
      <c r="T20" s="33"/>
      <c r="U20" s="33"/>
      <c r="W20" s="20" t="s">
        <v>19</v>
      </c>
      <c r="X20" s="2" t="s">
        <v>6</v>
      </c>
      <c r="Y20" s="21"/>
      <c r="Z20" s="2">
        <v>0.85</v>
      </c>
      <c r="AA20" s="21"/>
      <c r="AB20" s="21"/>
      <c r="AC20" s="21">
        <f t="shared" si="3"/>
        <v>0.85</v>
      </c>
      <c r="AD20" s="21"/>
      <c r="AE20" s="21"/>
      <c r="AF20" s="21"/>
      <c r="AG20" s="21">
        <f t="shared" si="4"/>
        <v>0</v>
      </c>
      <c r="AH20" s="21">
        <f t="shared" si="5"/>
        <v>0</v>
      </c>
    </row>
    <row r="21" spans="1:34" ht="43.2" x14ac:dyDescent="0.3">
      <c r="A21" s="20" t="s">
        <v>20</v>
      </c>
      <c r="B21" s="2" t="s">
        <v>6</v>
      </c>
      <c r="C21" s="21"/>
      <c r="D21" s="2">
        <v>0.9</v>
      </c>
      <c r="E21" s="21"/>
      <c r="F21" s="21"/>
      <c r="G21" s="21">
        <f t="shared" si="0"/>
        <v>0.9</v>
      </c>
      <c r="H21" s="21"/>
      <c r="I21" s="21"/>
      <c r="J21" s="21"/>
      <c r="K21" s="21">
        <f t="shared" si="1"/>
        <v>0</v>
      </c>
      <c r="L21" s="21">
        <f t="shared" si="2"/>
        <v>0</v>
      </c>
      <c r="N21" s="32"/>
      <c r="O21" s="32"/>
      <c r="P21" s="32"/>
      <c r="Q21" s="32"/>
      <c r="R21" s="32"/>
      <c r="S21" s="32"/>
      <c r="T21" s="32"/>
      <c r="U21" s="32"/>
      <c r="W21" s="20" t="s">
        <v>20</v>
      </c>
      <c r="X21" s="2" t="s">
        <v>6</v>
      </c>
      <c r="Y21" s="21"/>
      <c r="Z21" s="2">
        <v>0.9</v>
      </c>
      <c r="AA21" s="21"/>
      <c r="AB21" s="21"/>
      <c r="AC21" s="21">
        <f t="shared" si="3"/>
        <v>0.9</v>
      </c>
      <c r="AD21" s="21"/>
      <c r="AE21" s="21"/>
      <c r="AF21" s="21"/>
      <c r="AG21" s="21">
        <f t="shared" si="4"/>
        <v>0</v>
      </c>
      <c r="AH21" s="21">
        <f t="shared" si="5"/>
        <v>0</v>
      </c>
    </row>
    <row r="22" spans="1:34" ht="21.6" x14ac:dyDescent="0.3">
      <c r="A22" s="22" t="s">
        <v>21</v>
      </c>
      <c r="B22" s="2" t="s">
        <v>4</v>
      </c>
      <c r="C22" s="21"/>
      <c r="D22" s="2">
        <v>0.4</v>
      </c>
      <c r="E22" s="21"/>
      <c r="F22" s="21"/>
      <c r="G22" s="21">
        <f t="shared" si="0"/>
        <v>0.4</v>
      </c>
      <c r="H22" s="21"/>
      <c r="I22" s="21"/>
      <c r="J22" s="21"/>
      <c r="K22" s="21">
        <f t="shared" si="1"/>
        <v>0</v>
      </c>
      <c r="L22" s="21">
        <f t="shared" si="2"/>
        <v>0</v>
      </c>
      <c r="N22" s="75" t="s">
        <v>145</v>
      </c>
      <c r="O22" s="75"/>
      <c r="P22" s="75"/>
      <c r="Q22" s="75"/>
      <c r="R22" s="75"/>
      <c r="S22" s="75"/>
      <c r="T22" s="75"/>
      <c r="U22" s="75"/>
      <c r="W22" s="22" t="s">
        <v>21</v>
      </c>
      <c r="X22" s="2" t="s">
        <v>4</v>
      </c>
      <c r="Y22" s="21"/>
      <c r="Z22" s="2">
        <v>0.4</v>
      </c>
      <c r="AA22" s="21"/>
      <c r="AB22" s="21"/>
      <c r="AC22" s="21">
        <f t="shared" si="3"/>
        <v>0.4</v>
      </c>
      <c r="AD22" s="21"/>
      <c r="AE22" s="21"/>
      <c r="AF22" s="21"/>
      <c r="AG22" s="21">
        <f t="shared" si="4"/>
        <v>0</v>
      </c>
      <c r="AH22" s="21">
        <f t="shared" si="5"/>
        <v>0</v>
      </c>
    </row>
    <row r="23" spans="1:34" ht="54" x14ac:dyDescent="0.3">
      <c r="A23" s="22" t="s">
        <v>22</v>
      </c>
      <c r="B23" s="2" t="s">
        <v>12</v>
      </c>
      <c r="C23" s="21"/>
      <c r="D23" s="2">
        <v>1.8</v>
      </c>
      <c r="E23" s="21"/>
      <c r="F23" s="21"/>
      <c r="G23" s="21">
        <f t="shared" si="0"/>
        <v>1.8</v>
      </c>
      <c r="H23" s="21"/>
      <c r="I23" s="21"/>
      <c r="J23" s="21"/>
      <c r="K23" s="21">
        <f t="shared" si="1"/>
        <v>0</v>
      </c>
      <c r="L23" s="21">
        <f t="shared" si="2"/>
        <v>0</v>
      </c>
      <c r="N23" s="33" t="s">
        <v>158</v>
      </c>
      <c r="O23" s="33"/>
      <c r="P23" s="33"/>
      <c r="Q23" s="33"/>
      <c r="R23" s="33"/>
      <c r="S23" s="33"/>
      <c r="T23" s="33"/>
      <c r="U23" s="44">
        <v>1</v>
      </c>
      <c r="W23" s="22" t="s">
        <v>22</v>
      </c>
      <c r="X23" s="2" t="s">
        <v>12</v>
      </c>
      <c r="Y23" s="21"/>
      <c r="Z23" s="2">
        <v>1.8</v>
      </c>
      <c r="AA23" s="21"/>
      <c r="AB23" s="21"/>
      <c r="AC23" s="21">
        <f t="shared" si="3"/>
        <v>1.8</v>
      </c>
      <c r="AD23" s="21"/>
      <c r="AE23" s="21"/>
      <c r="AF23" s="21"/>
      <c r="AG23" s="21">
        <f t="shared" si="4"/>
        <v>0</v>
      </c>
      <c r="AH23" s="21">
        <f t="shared" si="5"/>
        <v>0</v>
      </c>
    </row>
    <row r="24" spans="1:34" ht="22.8" customHeight="1" x14ac:dyDescent="0.3">
      <c r="A24" s="22" t="s">
        <v>23</v>
      </c>
      <c r="B24" s="2" t="s">
        <v>6</v>
      </c>
      <c r="C24" s="21"/>
      <c r="D24" s="2">
        <v>2</v>
      </c>
      <c r="E24" s="21"/>
      <c r="F24" s="21"/>
      <c r="G24" s="21">
        <f t="shared" si="0"/>
        <v>2</v>
      </c>
      <c r="H24" s="21"/>
      <c r="I24" s="21"/>
      <c r="J24" s="21"/>
      <c r="K24" s="21">
        <f t="shared" si="1"/>
        <v>0</v>
      </c>
      <c r="L24" s="21">
        <f t="shared" si="2"/>
        <v>0</v>
      </c>
      <c r="N24" s="33" t="s">
        <v>159</v>
      </c>
      <c r="O24" s="33"/>
      <c r="P24" s="33"/>
      <c r="Q24" s="33"/>
      <c r="R24" s="33"/>
      <c r="S24" s="33"/>
      <c r="T24" s="33"/>
      <c r="U24" s="30">
        <v>0.75</v>
      </c>
      <c r="W24" s="22" t="s">
        <v>23</v>
      </c>
      <c r="X24" s="2" t="s">
        <v>6</v>
      </c>
      <c r="Y24" s="21"/>
      <c r="Z24" s="2">
        <v>2</v>
      </c>
      <c r="AA24" s="21"/>
      <c r="AB24" s="21"/>
      <c r="AC24" s="21">
        <f t="shared" si="3"/>
        <v>2</v>
      </c>
      <c r="AD24" s="21"/>
      <c r="AE24" s="21"/>
      <c r="AF24" s="21"/>
      <c r="AG24" s="21">
        <f t="shared" si="4"/>
        <v>0</v>
      </c>
      <c r="AH24" s="21">
        <f t="shared" si="5"/>
        <v>0</v>
      </c>
    </row>
    <row r="25" spans="1:34" ht="22.8" customHeight="1" x14ac:dyDescent="0.3">
      <c r="A25" s="22" t="s">
        <v>24</v>
      </c>
      <c r="B25" s="2" t="s">
        <v>6</v>
      </c>
      <c r="C25" s="21"/>
      <c r="D25" s="2">
        <v>2.5</v>
      </c>
      <c r="E25" s="21"/>
      <c r="F25" s="21"/>
      <c r="G25" s="21">
        <f t="shared" si="0"/>
        <v>2.5</v>
      </c>
      <c r="H25" s="21"/>
      <c r="I25" s="21"/>
      <c r="J25" s="21"/>
      <c r="K25" s="21">
        <f t="shared" si="1"/>
        <v>0</v>
      </c>
      <c r="L25" s="21">
        <f t="shared" si="2"/>
        <v>0</v>
      </c>
      <c r="N25" s="33" t="s">
        <v>160</v>
      </c>
      <c r="O25" s="33"/>
      <c r="P25" s="33"/>
      <c r="Q25" s="33"/>
      <c r="R25" s="33"/>
      <c r="S25" s="33"/>
      <c r="T25" s="33"/>
      <c r="U25" s="30">
        <v>0.5</v>
      </c>
      <c r="W25" s="22" t="s">
        <v>24</v>
      </c>
      <c r="X25" s="2" t="s">
        <v>6</v>
      </c>
      <c r="Y25" s="21"/>
      <c r="Z25" s="2">
        <v>2.5</v>
      </c>
      <c r="AA25" s="21"/>
      <c r="AB25" s="21"/>
      <c r="AC25" s="21">
        <f t="shared" si="3"/>
        <v>2.5</v>
      </c>
      <c r="AD25" s="21"/>
      <c r="AE25" s="21"/>
      <c r="AF25" s="21"/>
      <c r="AG25" s="21">
        <f t="shared" si="4"/>
        <v>0</v>
      </c>
      <c r="AH25" s="21">
        <f t="shared" si="5"/>
        <v>0</v>
      </c>
    </row>
    <row r="26" spans="1:34" ht="22.8" customHeight="1" x14ac:dyDescent="0.3">
      <c r="A26" s="22" t="s">
        <v>25</v>
      </c>
      <c r="B26" s="2" t="s">
        <v>6</v>
      </c>
      <c r="C26" s="21"/>
      <c r="D26" s="2">
        <v>3</v>
      </c>
      <c r="E26" s="21"/>
      <c r="F26" s="21"/>
      <c r="G26" s="21">
        <f t="shared" si="0"/>
        <v>3</v>
      </c>
      <c r="H26" s="21"/>
      <c r="I26" s="21"/>
      <c r="J26" s="21"/>
      <c r="K26" s="21">
        <f t="shared" si="1"/>
        <v>0</v>
      </c>
      <c r="L26" s="21">
        <f t="shared" si="2"/>
        <v>0</v>
      </c>
      <c r="N26" s="33" t="s">
        <v>161</v>
      </c>
      <c r="O26" s="33"/>
      <c r="P26" s="33"/>
      <c r="Q26" s="33"/>
      <c r="R26" s="33"/>
      <c r="S26" s="33"/>
      <c r="T26" s="33"/>
      <c r="U26" s="30">
        <v>0.1</v>
      </c>
      <c r="W26" s="22" t="s">
        <v>25</v>
      </c>
      <c r="X26" s="2" t="s">
        <v>6</v>
      </c>
      <c r="Y26" s="21"/>
      <c r="Z26" s="2">
        <v>3</v>
      </c>
      <c r="AA26" s="21"/>
      <c r="AB26" s="21"/>
      <c r="AC26" s="21">
        <f t="shared" si="3"/>
        <v>3</v>
      </c>
      <c r="AD26" s="21"/>
      <c r="AE26" s="21"/>
      <c r="AF26" s="21"/>
      <c r="AG26" s="21">
        <f t="shared" si="4"/>
        <v>0</v>
      </c>
      <c r="AH26" s="21">
        <f t="shared" si="5"/>
        <v>0</v>
      </c>
    </row>
    <row r="27" spans="1:34" ht="14.4" customHeight="1" x14ac:dyDescent="0.3">
      <c r="A27" s="22" t="s">
        <v>26</v>
      </c>
      <c r="B27" s="2" t="s">
        <v>6</v>
      </c>
      <c r="C27" s="21"/>
      <c r="D27" s="2">
        <v>2</v>
      </c>
      <c r="E27" s="21"/>
      <c r="F27" s="21"/>
      <c r="G27" s="21">
        <f t="shared" si="0"/>
        <v>2</v>
      </c>
      <c r="H27" s="21"/>
      <c r="I27" s="21"/>
      <c r="J27" s="21"/>
      <c r="K27" s="21">
        <f t="shared" si="1"/>
        <v>0</v>
      </c>
      <c r="L27" s="21">
        <f t="shared" si="2"/>
        <v>0</v>
      </c>
      <c r="N27" s="74" t="s">
        <v>157</v>
      </c>
      <c r="O27" s="74"/>
      <c r="P27" s="74"/>
      <c r="Q27" s="74"/>
      <c r="R27" s="74"/>
      <c r="S27" s="74"/>
      <c r="T27" s="74"/>
      <c r="U27" s="74"/>
      <c r="W27" s="22" t="s">
        <v>26</v>
      </c>
      <c r="X27" s="2" t="s">
        <v>6</v>
      </c>
      <c r="Y27" s="21"/>
      <c r="Z27" s="2">
        <v>2</v>
      </c>
      <c r="AA27" s="21"/>
      <c r="AB27" s="21"/>
      <c r="AC27" s="21">
        <f t="shared" si="3"/>
        <v>2</v>
      </c>
      <c r="AD27" s="21"/>
      <c r="AE27" s="21"/>
      <c r="AF27" s="21"/>
      <c r="AG27" s="21">
        <f t="shared" si="4"/>
        <v>0</v>
      </c>
      <c r="AH27" s="21">
        <f t="shared" si="5"/>
        <v>0</v>
      </c>
    </row>
    <row r="28" spans="1:34" ht="14.4" customHeight="1" x14ac:dyDescent="0.3">
      <c r="A28" s="22" t="s">
        <v>27</v>
      </c>
      <c r="B28" s="2" t="s">
        <v>6</v>
      </c>
      <c r="C28" s="21"/>
      <c r="D28" s="2">
        <v>2.5</v>
      </c>
      <c r="E28" s="21"/>
      <c r="F28" s="21"/>
      <c r="G28" s="21">
        <f t="shared" si="0"/>
        <v>2.5</v>
      </c>
      <c r="H28" s="21"/>
      <c r="I28" s="21"/>
      <c r="J28" s="21"/>
      <c r="K28" s="21">
        <f t="shared" si="1"/>
        <v>0</v>
      </c>
      <c r="L28" s="21">
        <f t="shared" si="2"/>
        <v>0</v>
      </c>
      <c r="N28" s="74" t="s">
        <v>164</v>
      </c>
      <c r="O28" s="74"/>
      <c r="P28" s="74"/>
      <c r="Q28" s="74"/>
      <c r="R28" s="74"/>
      <c r="S28" s="74"/>
      <c r="T28" s="74"/>
      <c r="U28" s="74"/>
      <c r="W28" s="22" t="s">
        <v>27</v>
      </c>
      <c r="X28" s="2" t="s">
        <v>6</v>
      </c>
      <c r="Y28" s="21"/>
      <c r="Z28" s="2">
        <v>2.5</v>
      </c>
      <c r="AA28" s="21"/>
      <c r="AB28" s="21"/>
      <c r="AC28" s="21">
        <f t="shared" si="3"/>
        <v>2.5</v>
      </c>
      <c r="AD28" s="21"/>
      <c r="AE28" s="21"/>
      <c r="AF28" s="21"/>
      <c r="AG28" s="21">
        <f t="shared" si="4"/>
        <v>0</v>
      </c>
      <c r="AH28" s="21">
        <f t="shared" si="5"/>
        <v>0</v>
      </c>
    </row>
    <row r="29" spans="1:34" ht="21.6" x14ac:dyDescent="0.3">
      <c r="A29" s="22" t="s">
        <v>28</v>
      </c>
      <c r="B29" s="2" t="s">
        <v>6</v>
      </c>
      <c r="C29" s="21"/>
      <c r="D29" s="2">
        <v>3</v>
      </c>
      <c r="E29" s="21"/>
      <c r="F29" s="21"/>
      <c r="G29" s="21">
        <f t="shared" si="0"/>
        <v>3</v>
      </c>
      <c r="H29" s="21"/>
      <c r="I29" s="21"/>
      <c r="J29" s="21"/>
      <c r="K29" s="21">
        <f t="shared" si="1"/>
        <v>0</v>
      </c>
      <c r="L29" s="21">
        <f t="shared" si="2"/>
        <v>0</v>
      </c>
      <c r="N29" s="31" t="s">
        <v>163</v>
      </c>
      <c r="O29" s="31"/>
      <c r="P29" s="31"/>
      <c r="Q29" s="31"/>
      <c r="R29" s="31"/>
      <c r="S29" s="31"/>
      <c r="T29" s="31"/>
      <c r="U29" s="44">
        <v>1</v>
      </c>
      <c r="W29" s="22" t="s">
        <v>28</v>
      </c>
      <c r="X29" s="2" t="s">
        <v>6</v>
      </c>
      <c r="Y29" s="21"/>
      <c r="Z29" s="2">
        <v>3</v>
      </c>
      <c r="AA29" s="21"/>
      <c r="AB29" s="21"/>
      <c r="AC29" s="21">
        <f t="shared" si="3"/>
        <v>3</v>
      </c>
      <c r="AD29" s="21"/>
      <c r="AE29" s="21"/>
      <c r="AF29" s="21"/>
      <c r="AG29" s="21">
        <f t="shared" si="4"/>
        <v>0</v>
      </c>
      <c r="AH29" s="21">
        <f t="shared" si="5"/>
        <v>0</v>
      </c>
    </row>
    <row r="30" spans="1:34" x14ac:dyDescent="0.3">
      <c r="A30" s="22" t="s">
        <v>29</v>
      </c>
      <c r="B30" s="2" t="s">
        <v>6</v>
      </c>
      <c r="C30" s="21"/>
      <c r="D30" s="2">
        <v>1.2</v>
      </c>
      <c r="E30" s="21"/>
      <c r="F30" s="21"/>
      <c r="G30" s="21">
        <f t="shared" si="0"/>
        <v>1.2</v>
      </c>
      <c r="H30" s="21"/>
      <c r="I30" s="21"/>
      <c r="J30" s="21"/>
      <c r="K30" s="21">
        <f t="shared" si="1"/>
        <v>0</v>
      </c>
      <c r="L30" s="21">
        <f t="shared" si="2"/>
        <v>0</v>
      </c>
      <c r="N30" s="31" t="s">
        <v>162</v>
      </c>
      <c r="O30" s="31"/>
      <c r="P30" s="31"/>
      <c r="Q30" s="31"/>
      <c r="R30" s="31"/>
      <c r="S30" s="31"/>
      <c r="T30" s="31"/>
      <c r="U30" s="44">
        <v>0.5</v>
      </c>
      <c r="W30" s="22" t="s">
        <v>29</v>
      </c>
      <c r="X30" s="2" t="s">
        <v>6</v>
      </c>
      <c r="Y30" s="21"/>
      <c r="Z30" s="2">
        <v>1.2</v>
      </c>
      <c r="AA30" s="21"/>
      <c r="AB30" s="21"/>
      <c r="AC30" s="21">
        <f t="shared" si="3"/>
        <v>1.2</v>
      </c>
      <c r="AD30" s="21"/>
      <c r="AE30" s="21"/>
      <c r="AF30" s="21"/>
      <c r="AG30" s="21">
        <f t="shared" si="4"/>
        <v>0</v>
      </c>
      <c r="AH30" s="21">
        <f t="shared" si="5"/>
        <v>0</v>
      </c>
    </row>
    <row r="31" spans="1:34" ht="14.4" customHeight="1" x14ac:dyDescent="0.3">
      <c r="A31" s="22" t="s">
        <v>30</v>
      </c>
      <c r="B31" s="2" t="s">
        <v>6</v>
      </c>
      <c r="C31" s="21"/>
      <c r="D31" s="2">
        <v>1.5</v>
      </c>
      <c r="E31" s="21"/>
      <c r="F31" s="21"/>
      <c r="G31" s="21">
        <f t="shared" si="0"/>
        <v>1.5</v>
      </c>
      <c r="H31" s="21"/>
      <c r="I31" s="21"/>
      <c r="J31" s="21"/>
      <c r="K31" s="21">
        <f t="shared" si="1"/>
        <v>0</v>
      </c>
      <c r="L31" s="21">
        <f t="shared" si="2"/>
        <v>0</v>
      </c>
      <c r="N31" s="37" t="s">
        <v>165</v>
      </c>
      <c r="O31" s="37"/>
      <c r="P31" s="37"/>
      <c r="Q31" s="37"/>
      <c r="R31" s="37"/>
      <c r="S31" s="37"/>
      <c r="T31" s="37"/>
      <c r="U31" s="33" t="s">
        <v>166</v>
      </c>
      <c r="W31" s="22" t="s">
        <v>30</v>
      </c>
      <c r="X31" s="2" t="s">
        <v>6</v>
      </c>
      <c r="Y31" s="21"/>
      <c r="Z31" s="2">
        <v>1.5</v>
      </c>
      <c r="AA31" s="21"/>
      <c r="AB31" s="21"/>
      <c r="AC31" s="21">
        <f t="shared" si="3"/>
        <v>1.5</v>
      </c>
      <c r="AD31" s="21"/>
      <c r="AE31" s="21"/>
      <c r="AF31" s="21"/>
      <c r="AG31" s="21">
        <f t="shared" si="4"/>
        <v>0</v>
      </c>
      <c r="AH31" s="21">
        <f t="shared" si="5"/>
        <v>0</v>
      </c>
    </row>
    <row r="32" spans="1:34" x14ac:dyDescent="0.3">
      <c r="A32" s="22" t="s">
        <v>31</v>
      </c>
      <c r="B32" s="2" t="s">
        <v>6</v>
      </c>
      <c r="C32" s="21"/>
      <c r="D32" s="2">
        <v>1.2</v>
      </c>
      <c r="E32" s="21"/>
      <c r="F32" s="21"/>
      <c r="G32" s="21">
        <f t="shared" si="0"/>
        <v>1.2</v>
      </c>
      <c r="H32" s="21"/>
      <c r="I32" s="21"/>
      <c r="J32" s="21"/>
      <c r="K32" s="21">
        <f t="shared" si="1"/>
        <v>0</v>
      </c>
      <c r="L32" s="21">
        <f t="shared" si="2"/>
        <v>0</v>
      </c>
      <c r="N32" s="37"/>
      <c r="O32" s="37"/>
      <c r="P32" s="37"/>
      <c r="Q32" s="37"/>
      <c r="R32" s="37"/>
      <c r="S32" s="37"/>
      <c r="T32" s="37"/>
      <c r="U32" s="33"/>
      <c r="W32" s="22" t="s">
        <v>31</v>
      </c>
      <c r="X32" s="2" t="s">
        <v>6</v>
      </c>
      <c r="Y32" s="21"/>
      <c r="Z32" s="2">
        <v>1.2</v>
      </c>
      <c r="AA32" s="21"/>
      <c r="AB32" s="21"/>
      <c r="AC32" s="21">
        <f t="shared" si="3"/>
        <v>1.2</v>
      </c>
      <c r="AD32" s="21"/>
      <c r="AE32" s="21"/>
      <c r="AF32" s="21"/>
      <c r="AG32" s="21">
        <f t="shared" si="4"/>
        <v>0</v>
      </c>
      <c r="AH32" s="21">
        <f t="shared" si="5"/>
        <v>0</v>
      </c>
    </row>
    <row r="33" spans="1:34" ht="32.4" x14ac:dyDescent="0.3">
      <c r="A33" s="22" t="s">
        <v>32</v>
      </c>
      <c r="B33" s="2" t="s">
        <v>33</v>
      </c>
      <c r="C33" s="21"/>
      <c r="D33" s="2">
        <v>0.5</v>
      </c>
      <c r="E33" s="21"/>
      <c r="F33" s="21"/>
      <c r="G33" s="21">
        <f t="shared" si="0"/>
        <v>0.5</v>
      </c>
      <c r="H33" s="21"/>
      <c r="I33" s="21"/>
      <c r="J33" s="21"/>
      <c r="K33" s="21">
        <f t="shared" si="1"/>
        <v>0</v>
      </c>
      <c r="L33" s="21">
        <f t="shared" si="2"/>
        <v>0</v>
      </c>
      <c r="N33" s="37"/>
      <c r="O33" s="37"/>
      <c r="P33" s="37"/>
      <c r="Q33" s="37"/>
      <c r="R33" s="37"/>
      <c r="S33" s="37"/>
      <c r="T33" s="37"/>
      <c r="U33" s="33"/>
      <c r="W33" s="22" t="s">
        <v>32</v>
      </c>
      <c r="X33" s="2" t="s">
        <v>33</v>
      </c>
      <c r="Y33" s="21"/>
      <c r="Z33" s="2">
        <v>0.5</v>
      </c>
      <c r="AA33" s="21"/>
      <c r="AB33" s="21"/>
      <c r="AC33" s="21">
        <f t="shared" si="3"/>
        <v>0.5</v>
      </c>
      <c r="AD33" s="21"/>
      <c r="AE33" s="21"/>
      <c r="AF33" s="21"/>
      <c r="AG33" s="21">
        <f t="shared" si="4"/>
        <v>0</v>
      </c>
      <c r="AH33" s="21">
        <f t="shared" si="5"/>
        <v>0</v>
      </c>
    </row>
    <row r="34" spans="1:34" ht="21.6" x14ac:dyDescent="0.3">
      <c r="A34" s="22" t="s">
        <v>34</v>
      </c>
      <c r="B34" s="23"/>
      <c r="C34" s="21"/>
      <c r="D34" s="2">
        <v>0.45</v>
      </c>
      <c r="E34" s="21"/>
      <c r="F34" s="21"/>
      <c r="G34" s="21">
        <f t="shared" si="0"/>
        <v>0.45</v>
      </c>
      <c r="H34" s="21"/>
      <c r="I34" s="21"/>
      <c r="J34" s="21"/>
      <c r="K34" s="21">
        <f t="shared" si="1"/>
        <v>0</v>
      </c>
      <c r="L34" s="21">
        <f t="shared" si="2"/>
        <v>0</v>
      </c>
      <c r="N34" s="37"/>
      <c r="O34" s="37"/>
      <c r="P34" s="37"/>
      <c r="Q34" s="37"/>
      <c r="R34" s="37"/>
      <c r="S34" s="37"/>
      <c r="T34" s="37"/>
      <c r="U34" s="33"/>
      <c r="W34" s="22" t="s">
        <v>34</v>
      </c>
      <c r="X34" s="23"/>
      <c r="Y34" s="21"/>
      <c r="Z34" s="2">
        <v>0.45</v>
      </c>
      <c r="AA34" s="21"/>
      <c r="AB34" s="21"/>
      <c r="AC34" s="21">
        <f t="shared" si="3"/>
        <v>0.45</v>
      </c>
      <c r="AD34" s="21"/>
      <c r="AE34" s="21"/>
      <c r="AF34" s="21"/>
      <c r="AG34" s="21">
        <f t="shared" si="4"/>
        <v>0</v>
      </c>
      <c r="AH34" s="21">
        <f t="shared" si="5"/>
        <v>0</v>
      </c>
    </row>
    <row r="35" spans="1:34" ht="21.6" customHeight="1" x14ac:dyDescent="0.3">
      <c r="A35" s="22" t="s">
        <v>35</v>
      </c>
      <c r="B35" s="23"/>
      <c r="C35" s="21"/>
      <c r="D35" s="2">
        <v>1.1000000000000001</v>
      </c>
      <c r="E35" s="21"/>
      <c r="F35" s="21"/>
      <c r="G35" s="21">
        <f t="shared" si="0"/>
        <v>1.1000000000000001</v>
      </c>
      <c r="H35" s="21"/>
      <c r="I35" s="21"/>
      <c r="J35" s="21"/>
      <c r="K35" s="21">
        <f t="shared" si="1"/>
        <v>0</v>
      </c>
      <c r="L35" s="21">
        <f t="shared" si="2"/>
        <v>0</v>
      </c>
      <c r="N35" s="33" t="s">
        <v>167</v>
      </c>
      <c r="O35" s="33"/>
      <c r="P35" s="33"/>
      <c r="Q35" s="33"/>
      <c r="R35" s="33"/>
      <c r="S35" s="33"/>
      <c r="T35" s="33"/>
      <c r="U35" s="33"/>
      <c r="W35" s="22" t="s">
        <v>35</v>
      </c>
      <c r="X35" s="23"/>
      <c r="Y35" s="21"/>
      <c r="Z35" s="2">
        <v>1.1000000000000001</v>
      </c>
      <c r="AA35" s="21"/>
      <c r="AB35" s="21"/>
      <c r="AC35" s="21">
        <f t="shared" si="3"/>
        <v>1.1000000000000001</v>
      </c>
      <c r="AD35" s="21"/>
      <c r="AE35" s="21"/>
      <c r="AF35" s="21"/>
      <c r="AG35" s="21">
        <f t="shared" si="4"/>
        <v>0</v>
      </c>
      <c r="AH35" s="21">
        <f t="shared" si="5"/>
        <v>0</v>
      </c>
    </row>
    <row r="36" spans="1:34" ht="21.6" customHeight="1" x14ac:dyDescent="0.3">
      <c r="A36" s="22" t="s">
        <v>36</v>
      </c>
      <c r="B36" s="23"/>
      <c r="C36" s="21"/>
      <c r="D36" s="2">
        <v>0.9</v>
      </c>
      <c r="E36" s="21"/>
      <c r="F36" s="21"/>
      <c r="G36" s="21">
        <f t="shared" si="0"/>
        <v>0.9</v>
      </c>
      <c r="H36" s="21"/>
      <c r="I36" s="21"/>
      <c r="J36" s="21"/>
      <c r="K36" s="21">
        <f t="shared" si="1"/>
        <v>0</v>
      </c>
      <c r="L36" s="21">
        <f t="shared" si="2"/>
        <v>0</v>
      </c>
      <c r="N36" s="33" t="s">
        <v>168</v>
      </c>
      <c r="O36" s="33"/>
      <c r="P36" s="33"/>
      <c r="Q36" s="33"/>
      <c r="R36" s="33"/>
      <c r="S36" s="33"/>
      <c r="T36" s="33"/>
      <c r="U36" s="33"/>
      <c r="W36" s="22" t="s">
        <v>36</v>
      </c>
      <c r="X36" s="23"/>
      <c r="Y36" s="21"/>
      <c r="Z36" s="2">
        <v>0.9</v>
      </c>
      <c r="AA36" s="21"/>
      <c r="AB36" s="21"/>
      <c r="AC36" s="21">
        <f t="shared" si="3"/>
        <v>0.9</v>
      </c>
      <c r="AD36" s="21"/>
      <c r="AE36" s="21"/>
      <c r="AF36" s="21"/>
      <c r="AG36" s="21">
        <f t="shared" si="4"/>
        <v>0</v>
      </c>
      <c r="AH36" s="21">
        <f t="shared" si="5"/>
        <v>0</v>
      </c>
    </row>
    <row r="37" spans="1:34" ht="32.4" x14ac:dyDescent="0.3">
      <c r="A37" s="22" t="s">
        <v>37</v>
      </c>
      <c r="B37" s="23"/>
      <c r="C37" s="21"/>
      <c r="D37" s="2">
        <v>1.25</v>
      </c>
      <c r="E37" s="21"/>
      <c r="F37" s="21"/>
      <c r="G37" s="21">
        <f t="shared" si="0"/>
        <v>1.25</v>
      </c>
      <c r="H37" s="21"/>
      <c r="I37" s="21"/>
      <c r="J37" s="21"/>
      <c r="K37" s="21">
        <f t="shared" si="1"/>
        <v>0</v>
      </c>
      <c r="L37" s="21">
        <f t="shared" si="2"/>
        <v>0</v>
      </c>
      <c r="N37" s="33"/>
      <c r="O37" s="33"/>
      <c r="P37" s="33"/>
      <c r="Q37" s="33"/>
      <c r="R37" s="33"/>
      <c r="S37" s="33"/>
      <c r="T37" s="33"/>
      <c r="U37" s="33"/>
      <c r="W37" s="22" t="s">
        <v>37</v>
      </c>
      <c r="X37" s="23"/>
      <c r="Y37" s="21"/>
      <c r="Z37" s="2">
        <v>1.25</v>
      </c>
      <c r="AA37" s="21"/>
      <c r="AB37" s="21"/>
      <c r="AC37" s="21">
        <f t="shared" si="3"/>
        <v>1.25</v>
      </c>
      <c r="AD37" s="21"/>
      <c r="AE37" s="21"/>
      <c r="AF37" s="21"/>
      <c r="AG37" s="21">
        <f t="shared" si="4"/>
        <v>0</v>
      </c>
      <c r="AH37" s="21">
        <f t="shared" si="5"/>
        <v>0</v>
      </c>
    </row>
    <row r="38" spans="1:34" ht="21.6" x14ac:dyDescent="0.3">
      <c r="A38" s="22" t="s">
        <v>38</v>
      </c>
      <c r="B38" s="23"/>
      <c r="C38" s="21"/>
      <c r="D38" s="2">
        <v>0.1</v>
      </c>
      <c r="E38" s="21"/>
      <c r="F38" s="21"/>
      <c r="G38" s="21">
        <f t="shared" si="0"/>
        <v>0.1</v>
      </c>
      <c r="H38" s="21"/>
      <c r="I38" s="21"/>
      <c r="J38" s="21"/>
      <c r="K38" s="21">
        <f t="shared" si="1"/>
        <v>0</v>
      </c>
      <c r="L38" s="21">
        <f t="shared" si="2"/>
        <v>0</v>
      </c>
      <c r="N38" s="32"/>
      <c r="O38" s="32"/>
      <c r="P38" s="32"/>
      <c r="Q38" s="32"/>
      <c r="R38" s="32"/>
      <c r="S38" s="32"/>
      <c r="T38" s="32"/>
      <c r="U38" s="32"/>
      <c r="W38" s="22" t="s">
        <v>38</v>
      </c>
      <c r="X38" s="23"/>
      <c r="Y38" s="21"/>
      <c r="Z38" s="2">
        <v>0.1</v>
      </c>
      <c r="AA38" s="21"/>
      <c r="AB38" s="21"/>
      <c r="AC38" s="21">
        <f t="shared" si="3"/>
        <v>0.1</v>
      </c>
      <c r="AD38" s="21"/>
      <c r="AE38" s="21"/>
      <c r="AF38" s="21"/>
      <c r="AG38" s="21">
        <f t="shared" si="4"/>
        <v>0</v>
      </c>
      <c r="AH38" s="21">
        <f t="shared" si="5"/>
        <v>0</v>
      </c>
    </row>
    <row r="39" spans="1:34" ht="21.6" x14ac:dyDescent="0.3">
      <c r="A39" s="22" t="s">
        <v>39</v>
      </c>
      <c r="B39" s="23"/>
      <c r="C39" s="21"/>
      <c r="D39" s="2">
        <v>1</v>
      </c>
      <c r="E39" s="21"/>
      <c r="F39" s="21"/>
      <c r="G39" s="21">
        <f t="shared" si="0"/>
        <v>1</v>
      </c>
      <c r="H39" s="21"/>
      <c r="I39" s="21"/>
      <c r="J39" s="21"/>
      <c r="K39" s="21">
        <f t="shared" si="1"/>
        <v>0</v>
      </c>
      <c r="L39" s="21">
        <f t="shared" si="2"/>
        <v>0</v>
      </c>
      <c r="N39" s="77" t="s">
        <v>183</v>
      </c>
      <c r="O39" s="77"/>
      <c r="P39" s="77"/>
      <c r="Q39" s="77"/>
      <c r="R39" s="77"/>
      <c r="S39" s="77"/>
      <c r="T39" s="77"/>
      <c r="U39" s="77"/>
      <c r="W39" s="22" t="s">
        <v>39</v>
      </c>
      <c r="X39" s="23"/>
      <c r="Y39" s="21"/>
      <c r="Z39" s="2">
        <v>1</v>
      </c>
      <c r="AA39" s="21"/>
      <c r="AB39" s="21"/>
      <c r="AC39" s="21">
        <f t="shared" si="3"/>
        <v>1</v>
      </c>
      <c r="AD39" s="21"/>
      <c r="AE39" s="21"/>
      <c r="AF39" s="21"/>
      <c r="AG39" s="21">
        <f t="shared" si="4"/>
        <v>0</v>
      </c>
      <c r="AH39" s="21">
        <f t="shared" si="5"/>
        <v>0</v>
      </c>
    </row>
    <row r="40" spans="1:34" ht="30" customHeight="1" x14ac:dyDescent="0.3">
      <c r="A40" s="16" t="s">
        <v>134</v>
      </c>
      <c r="B40" s="16"/>
      <c r="C40" s="16"/>
      <c r="D40" s="16"/>
      <c r="E40" s="16"/>
      <c r="F40" s="16"/>
      <c r="G40" s="16"/>
      <c r="H40" s="16"/>
      <c r="I40" s="16"/>
      <c r="J40" s="16"/>
      <c r="K40" s="16"/>
      <c r="L40" s="16"/>
      <c r="M40" s="1"/>
      <c r="N40" s="78" t="s">
        <v>175</v>
      </c>
      <c r="O40" s="78"/>
      <c r="P40" s="78"/>
      <c r="Q40" s="78"/>
      <c r="R40" s="78"/>
      <c r="S40" s="78"/>
      <c r="T40" s="78"/>
      <c r="U40" s="78"/>
      <c r="W40" s="16" t="s">
        <v>134</v>
      </c>
      <c r="X40" s="16"/>
      <c r="Y40" s="16"/>
      <c r="Z40" s="16"/>
      <c r="AA40" s="16"/>
      <c r="AB40" s="16"/>
      <c r="AC40" s="16"/>
      <c r="AD40" s="16"/>
      <c r="AE40" s="16"/>
      <c r="AF40" s="16"/>
      <c r="AG40" s="16"/>
      <c r="AH40" s="16"/>
    </row>
    <row r="41" spans="1:34" ht="22.2" customHeight="1" x14ac:dyDescent="0.3">
      <c r="A41" s="24" t="s">
        <v>40</v>
      </c>
      <c r="B41" s="2" t="s">
        <v>88</v>
      </c>
      <c r="C41" s="21"/>
      <c r="D41" s="2">
        <v>4</v>
      </c>
      <c r="E41" s="21"/>
      <c r="F41" s="21"/>
      <c r="G41" s="21">
        <f>PRODUCT(C41,D41,E41,F41)</f>
        <v>4</v>
      </c>
      <c r="H41" s="21"/>
      <c r="I41" s="21"/>
      <c r="J41" s="21"/>
      <c r="K41" s="21">
        <f>PRODUCT(H41:J41)</f>
        <v>0</v>
      </c>
      <c r="L41" s="21">
        <f>PRODUCT(G41,K41)</f>
        <v>0</v>
      </c>
      <c r="N41" s="37" t="s">
        <v>176</v>
      </c>
      <c r="O41" s="37"/>
      <c r="P41" s="37"/>
      <c r="Q41" s="37"/>
      <c r="R41" s="37"/>
      <c r="S41" s="37"/>
      <c r="T41" s="37"/>
      <c r="U41" s="44">
        <v>1</v>
      </c>
      <c r="W41" s="24" t="s">
        <v>40</v>
      </c>
      <c r="X41" s="2" t="s">
        <v>88</v>
      </c>
      <c r="Y41" s="21"/>
      <c r="Z41" s="2">
        <v>4</v>
      </c>
      <c r="AA41" s="21"/>
      <c r="AB41" s="21"/>
      <c r="AC41" s="21">
        <f>PRODUCT(Y41,Z41,AA41,AB41)</f>
        <v>4</v>
      </c>
      <c r="AD41" s="21"/>
      <c r="AE41" s="21"/>
      <c r="AF41" s="21"/>
      <c r="AG41" s="21">
        <f>PRODUCT(AD41:AF41)</f>
        <v>0</v>
      </c>
      <c r="AH41" s="21">
        <f>PRODUCT(AC41,AG41)</f>
        <v>0</v>
      </c>
    </row>
    <row r="42" spans="1:34" ht="32.4" x14ac:dyDescent="0.3">
      <c r="A42" s="24" t="s">
        <v>41</v>
      </c>
      <c r="B42" s="2" t="s">
        <v>89</v>
      </c>
      <c r="C42" s="21"/>
      <c r="D42" s="2">
        <v>3.5</v>
      </c>
      <c r="E42" s="21"/>
      <c r="F42" s="21"/>
      <c r="G42" s="21">
        <f t="shared" ref="G42:G87" si="6">PRODUCT(C42,D42,E42,F42)</f>
        <v>3.5</v>
      </c>
      <c r="H42" s="21"/>
      <c r="I42" s="21"/>
      <c r="J42" s="21"/>
      <c r="K42" s="21">
        <f t="shared" ref="K42:K87" si="7">PRODUCT(H42:J42)</f>
        <v>0</v>
      </c>
      <c r="L42" s="21">
        <f t="shared" ref="L42:L87" si="8">PRODUCT(G42,K42)</f>
        <v>0</v>
      </c>
      <c r="N42" s="37" t="s">
        <v>177</v>
      </c>
      <c r="O42" s="37"/>
      <c r="P42" s="37"/>
      <c r="Q42" s="37"/>
      <c r="R42" s="37"/>
      <c r="S42" s="37"/>
      <c r="T42" s="37"/>
      <c r="U42" s="44">
        <v>0.5</v>
      </c>
      <c r="W42" s="24" t="s">
        <v>41</v>
      </c>
      <c r="X42" s="2" t="s">
        <v>89</v>
      </c>
      <c r="Y42" s="21"/>
      <c r="Z42" s="2">
        <v>3.5</v>
      </c>
      <c r="AA42" s="21"/>
      <c r="AB42" s="21"/>
      <c r="AC42" s="21">
        <f t="shared" ref="AC42:AC87" si="9">PRODUCT(Y42,Z42,AA42,AB42)</f>
        <v>3.5</v>
      </c>
      <c r="AD42" s="21"/>
      <c r="AE42" s="21"/>
      <c r="AF42" s="21"/>
      <c r="AG42" s="21">
        <f t="shared" ref="AG42:AG87" si="10">PRODUCT(AD42:AF42)</f>
        <v>0</v>
      </c>
      <c r="AH42" s="21">
        <f t="shared" ref="AH42:AH87" si="11">PRODUCT(AC42,AG42)</f>
        <v>0</v>
      </c>
    </row>
    <row r="43" spans="1:34" ht="21.6" x14ac:dyDescent="0.3">
      <c r="A43" s="24" t="s">
        <v>42</v>
      </c>
      <c r="B43" s="2" t="s">
        <v>89</v>
      </c>
      <c r="C43" s="21"/>
      <c r="D43" s="2">
        <v>3</v>
      </c>
      <c r="E43" s="21"/>
      <c r="F43" s="21"/>
      <c r="G43" s="21">
        <f t="shared" si="6"/>
        <v>3</v>
      </c>
      <c r="H43" s="21"/>
      <c r="I43" s="21"/>
      <c r="J43" s="21"/>
      <c r="K43" s="21">
        <f t="shared" si="7"/>
        <v>0</v>
      </c>
      <c r="L43" s="21">
        <f t="shared" si="8"/>
        <v>0</v>
      </c>
      <c r="N43" s="37" t="s">
        <v>178</v>
      </c>
      <c r="O43" s="37"/>
      <c r="P43" s="37"/>
      <c r="Q43" s="37"/>
      <c r="R43" s="37"/>
      <c r="S43" s="37"/>
      <c r="T43" s="37"/>
      <c r="U43" s="44">
        <v>0.25</v>
      </c>
      <c r="W43" s="24" t="s">
        <v>42</v>
      </c>
      <c r="X43" s="2" t="s">
        <v>89</v>
      </c>
      <c r="Y43" s="21"/>
      <c r="Z43" s="2">
        <v>3</v>
      </c>
      <c r="AA43" s="21"/>
      <c r="AB43" s="21"/>
      <c r="AC43" s="21">
        <f t="shared" si="9"/>
        <v>3</v>
      </c>
      <c r="AD43" s="21"/>
      <c r="AE43" s="21"/>
      <c r="AF43" s="21"/>
      <c r="AG43" s="21">
        <f t="shared" si="10"/>
        <v>0</v>
      </c>
      <c r="AH43" s="21">
        <f t="shared" si="11"/>
        <v>0</v>
      </c>
    </row>
    <row r="44" spans="1:34" ht="21.6" x14ac:dyDescent="0.3">
      <c r="A44" s="24" t="s">
        <v>43</v>
      </c>
      <c r="B44" s="2" t="s">
        <v>89</v>
      </c>
      <c r="C44" s="21"/>
      <c r="D44" s="2">
        <v>3.5</v>
      </c>
      <c r="E44" s="21"/>
      <c r="F44" s="21"/>
      <c r="G44" s="21">
        <f t="shared" si="6"/>
        <v>3.5</v>
      </c>
      <c r="H44" s="21"/>
      <c r="I44" s="21"/>
      <c r="J44" s="21"/>
      <c r="K44" s="21">
        <f t="shared" si="7"/>
        <v>0</v>
      </c>
      <c r="L44" s="21">
        <f t="shared" si="8"/>
        <v>0</v>
      </c>
      <c r="N44" s="37" t="s">
        <v>207</v>
      </c>
      <c r="O44" s="37"/>
      <c r="P44" s="37"/>
      <c r="Q44" s="37"/>
      <c r="R44" s="37"/>
      <c r="S44" s="37"/>
      <c r="T44" s="37"/>
      <c r="U44" s="44">
        <v>0.5</v>
      </c>
      <c r="W44" s="24" t="s">
        <v>43</v>
      </c>
      <c r="X44" s="2" t="s">
        <v>89</v>
      </c>
      <c r="Y44" s="21"/>
      <c r="Z44" s="2">
        <v>3.5</v>
      </c>
      <c r="AA44" s="21"/>
      <c r="AB44" s="21"/>
      <c r="AC44" s="21">
        <f t="shared" si="9"/>
        <v>3.5</v>
      </c>
      <c r="AD44" s="21"/>
      <c r="AE44" s="21"/>
      <c r="AF44" s="21"/>
      <c r="AG44" s="21">
        <f t="shared" si="10"/>
        <v>0</v>
      </c>
      <c r="AH44" s="21">
        <f t="shared" si="11"/>
        <v>0</v>
      </c>
    </row>
    <row r="45" spans="1:34" ht="28.8" customHeight="1" x14ac:dyDescent="0.3">
      <c r="A45" s="24" t="s">
        <v>44</v>
      </c>
      <c r="B45" s="2" t="s">
        <v>89</v>
      </c>
      <c r="C45" s="21"/>
      <c r="D45" s="2">
        <v>3</v>
      </c>
      <c r="E45" s="21"/>
      <c r="F45" s="21"/>
      <c r="G45" s="21">
        <f t="shared" si="6"/>
        <v>3</v>
      </c>
      <c r="H45" s="21"/>
      <c r="I45" s="21"/>
      <c r="J45" s="21"/>
      <c r="K45" s="21">
        <f t="shared" si="7"/>
        <v>0</v>
      </c>
      <c r="L45" s="21">
        <f t="shared" si="8"/>
        <v>0</v>
      </c>
      <c r="N45" s="33" t="s">
        <v>179</v>
      </c>
      <c r="O45" s="33"/>
      <c r="P45" s="33"/>
      <c r="Q45" s="33"/>
      <c r="R45" s="33"/>
      <c r="S45" s="33"/>
      <c r="T45" s="33"/>
      <c r="U45" s="44">
        <v>0.75</v>
      </c>
      <c r="W45" s="24" t="s">
        <v>44</v>
      </c>
      <c r="X45" s="2" t="s">
        <v>89</v>
      </c>
      <c r="Y45" s="21"/>
      <c r="Z45" s="2">
        <v>3</v>
      </c>
      <c r="AA45" s="21"/>
      <c r="AB45" s="21"/>
      <c r="AC45" s="21">
        <f t="shared" si="9"/>
        <v>3</v>
      </c>
      <c r="AD45" s="21"/>
      <c r="AE45" s="21"/>
      <c r="AF45" s="21"/>
      <c r="AG45" s="21">
        <f t="shared" si="10"/>
        <v>0</v>
      </c>
      <c r="AH45" s="21">
        <f t="shared" si="11"/>
        <v>0</v>
      </c>
    </row>
    <row r="46" spans="1:34" ht="43.2" x14ac:dyDescent="0.3">
      <c r="A46" s="24" t="s">
        <v>45</v>
      </c>
      <c r="B46" s="2" t="s">
        <v>89</v>
      </c>
      <c r="C46" s="21"/>
      <c r="D46" s="2">
        <v>2.5</v>
      </c>
      <c r="E46" s="21"/>
      <c r="F46" s="21"/>
      <c r="G46" s="21">
        <f t="shared" si="6"/>
        <v>2.5</v>
      </c>
      <c r="H46" s="21"/>
      <c r="I46" s="21"/>
      <c r="J46" s="21"/>
      <c r="K46" s="21">
        <f t="shared" si="7"/>
        <v>0</v>
      </c>
      <c r="L46" s="21">
        <f t="shared" si="8"/>
        <v>0</v>
      </c>
      <c r="N46" s="37" t="s">
        <v>180</v>
      </c>
      <c r="O46" s="37"/>
      <c r="P46" s="37"/>
      <c r="Q46" s="37"/>
      <c r="R46" s="37"/>
      <c r="S46" s="37"/>
      <c r="T46" s="37"/>
      <c r="U46" s="44">
        <v>1</v>
      </c>
      <c r="W46" s="24" t="s">
        <v>45</v>
      </c>
      <c r="X46" s="2" t="s">
        <v>89</v>
      </c>
      <c r="Y46" s="21"/>
      <c r="Z46" s="2">
        <v>2.5</v>
      </c>
      <c r="AA46" s="21"/>
      <c r="AB46" s="21"/>
      <c r="AC46" s="21">
        <f t="shared" si="9"/>
        <v>2.5</v>
      </c>
      <c r="AD46" s="21"/>
      <c r="AE46" s="21"/>
      <c r="AF46" s="21"/>
      <c r="AG46" s="21">
        <f t="shared" si="10"/>
        <v>0</v>
      </c>
      <c r="AH46" s="21">
        <f t="shared" si="11"/>
        <v>0</v>
      </c>
    </row>
    <row r="47" spans="1:34" ht="21.6" x14ac:dyDescent="0.3">
      <c r="A47" s="24" t="s">
        <v>46</v>
      </c>
      <c r="B47" s="2" t="s">
        <v>105</v>
      </c>
      <c r="C47" s="21"/>
      <c r="D47" s="2">
        <v>1</v>
      </c>
      <c r="E47" s="21"/>
      <c r="F47" s="21"/>
      <c r="G47" s="21">
        <f t="shared" si="6"/>
        <v>1</v>
      </c>
      <c r="H47" s="21"/>
      <c r="I47" s="21"/>
      <c r="J47" s="21"/>
      <c r="K47" s="21">
        <f t="shared" si="7"/>
        <v>0</v>
      </c>
      <c r="L47" s="21">
        <f t="shared" si="8"/>
        <v>0</v>
      </c>
      <c r="N47" s="32"/>
      <c r="O47" s="32"/>
      <c r="P47" s="32"/>
      <c r="Q47" s="32"/>
      <c r="R47" s="32"/>
      <c r="S47" s="32"/>
      <c r="T47" s="45"/>
      <c r="U47" s="45"/>
      <c r="W47" s="24" t="s">
        <v>46</v>
      </c>
      <c r="X47" s="2" t="s">
        <v>105</v>
      </c>
      <c r="Y47" s="21"/>
      <c r="Z47" s="2">
        <v>1</v>
      </c>
      <c r="AA47" s="21"/>
      <c r="AB47" s="21"/>
      <c r="AC47" s="21">
        <f t="shared" si="9"/>
        <v>1</v>
      </c>
      <c r="AD47" s="21"/>
      <c r="AE47" s="21"/>
      <c r="AF47" s="21"/>
      <c r="AG47" s="21">
        <f t="shared" si="10"/>
        <v>0</v>
      </c>
      <c r="AH47" s="21">
        <f t="shared" si="11"/>
        <v>0</v>
      </c>
    </row>
    <row r="48" spans="1:34" ht="30.6" customHeight="1" x14ac:dyDescent="0.3">
      <c r="A48" s="24" t="s">
        <v>47</v>
      </c>
      <c r="B48" s="2" t="s">
        <v>105</v>
      </c>
      <c r="C48" s="21"/>
      <c r="D48" s="2">
        <v>0.9</v>
      </c>
      <c r="E48" s="21"/>
      <c r="F48" s="21"/>
      <c r="G48" s="21">
        <f t="shared" si="6"/>
        <v>0.9</v>
      </c>
      <c r="H48" s="21"/>
      <c r="I48" s="21"/>
      <c r="J48" s="21"/>
      <c r="K48" s="21">
        <f t="shared" si="7"/>
        <v>0</v>
      </c>
      <c r="L48" s="21">
        <f t="shared" si="8"/>
        <v>0</v>
      </c>
      <c r="N48" s="79" t="s">
        <v>206</v>
      </c>
      <c r="O48" s="80"/>
      <c r="P48" s="80"/>
      <c r="Q48" s="80"/>
      <c r="R48" s="80"/>
      <c r="S48" s="80"/>
      <c r="T48" s="80"/>
      <c r="U48" s="81"/>
      <c r="W48" s="24" t="s">
        <v>47</v>
      </c>
      <c r="X48" s="2" t="s">
        <v>105</v>
      </c>
      <c r="Y48" s="21"/>
      <c r="Z48" s="2">
        <v>0.9</v>
      </c>
      <c r="AA48" s="21"/>
      <c r="AB48" s="21"/>
      <c r="AC48" s="21">
        <f t="shared" si="9"/>
        <v>0.9</v>
      </c>
      <c r="AD48" s="21"/>
      <c r="AE48" s="21"/>
      <c r="AF48" s="21"/>
      <c r="AG48" s="21">
        <f t="shared" si="10"/>
        <v>0</v>
      </c>
      <c r="AH48" s="21">
        <f t="shared" si="11"/>
        <v>0</v>
      </c>
    </row>
    <row r="49" spans="1:34" ht="21.6" customHeight="1" x14ac:dyDescent="0.3">
      <c r="A49" s="24" t="s">
        <v>48</v>
      </c>
      <c r="B49" s="2" t="s">
        <v>105</v>
      </c>
      <c r="C49" s="21"/>
      <c r="D49" s="2">
        <v>0.75</v>
      </c>
      <c r="E49" s="21"/>
      <c r="F49" s="21"/>
      <c r="G49" s="21">
        <f t="shared" si="6"/>
        <v>0.75</v>
      </c>
      <c r="H49" s="21"/>
      <c r="I49" s="21"/>
      <c r="J49" s="21"/>
      <c r="K49" s="21">
        <f t="shared" si="7"/>
        <v>0</v>
      </c>
      <c r="L49" s="21">
        <f t="shared" si="8"/>
        <v>0</v>
      </c>
      <c r="M49" s="1"/>
      <c r="N49" s="34" t="s">
        <v>205</v>
      </c>
      <c r="O49" s="35"/>
      <c r="P49" s="35"/>
      <c r="Q49" s="35"/>
      <c r="R49" s="35"/>
      <c r="S49" s="35"/>
      <c r="T49" s="35"/>
      <c r="U49" s="36"/>
      <c r="W49" s="24" t="s">
        <v>48</v>
      </c>
      <c r="X49" s="2" t="s">
        <v>105</v>
      </c>
      <c r="Y49" s="21"/>
      <c r="Z49" s="2">
        <v>0.75</v>
      </c>
      <c r="AA49" s="21"/>
      <c r="AB49" s="21"/>
      <c r="AC49" s="21">
        <f t="shared" si="9"/>
        <v>0.75</v>
      </c>
      <c r="AD49" s="21"/>
      <c r="AE49" s="21"/>
      <c r="AF49" s="21"/>
      <c r="AG49" s="21">
        <f t="shared" si="10"/>
        <v>0</v>
      </c>
      <c r="AH49" s="21">
        <f t="shared" si="11"/>
        <v>0</v>
      </c>
    </row>
    <row r="50" spans="1:34" ht="54" customHeight="1" x14ac:dyDescent="0.3">
      <c r="A50" s="24" t="s">
        <v>49</v>
      </c>
      <c r="B50" s="2" t="s">
        <v>90</v>
      </c>
      <c r="C50" s="21"/>
      <c r="D50" s="2">
        <v>0.5</v>
      </c>
      <c r="E50" s="21"/>
      <c r="F50" s="21"/>
      <c r="G50" s="21">
        <f t="shared" si="6"/>
        <v>0.5</v>
      </c>
      <c r="H50" s="21"/>
      <c r="I50" s="21"/>
      <c r="J50" s="21"/>
      <c r="K50" s="21">
        <f t="shared" si="7"/>
        <v>0</v>
      </c>
      <c r="L50" s="21">
        <f t="shared" si="8"/>
        <v>0</v>
      </c>
      <c r="M50" s="1"/>
      <c r="N50" s="34"/>
      <c r="O50" s="35"/>
      <c r="P50" s="35"/>
      <c r="Q50" s="35"/>
      <c r="R50" s="35"/>
      <c r="S50" s="35"/>
      <c r="T50" s="35"/>
      <c r="U50" s="36"/>
      <c r="W50" s="24" t="s">
        <v>49</v>
      </c>
      <c r="X50" s="2" t="s">
        <v>90</v>
      </c>
      <c r="Y50" s="21"/>
      <c r="Z50" s="2">
        <v>0.5</v>
      </c>
      <c r="AA50" s="21"/>
      <c r="AB50" s="21"/>
      <c r="AC50" s="21">
        <f t="shared" si="9"/>
        <v>0.5</v>
      </c>
      <c r="AD50" s="21"/>
      <c r="AE50" s="21"/>
      <c r="AF50" s="21"/>
      <c r="AG50" s="21">
        <f t="shared" si="10"/>
        <v>0</v>
      </c>
      <c r="AH50" s="21">
        <f t="shared" si="11"/>
        <v>0</v>
      </c>
    </row>
    <row r="51" spans="1:34" ht="43.2" customHeight="1" thickBot="1" x14ac:dyDescent="0.35">
      <c r="A51" s="24" t="s">
        <v>50</v>
      </c>
      <c r="B51" s="2" t="s">
        <v>90</v>
      </c>
      <c r="C51" s="21"/>
      <c r="D51" s="2">
        <v>0.4</v>
      </c>
      <c r="E51" s="21"/>
      <c r="F51" s="21"/>
      <c r="G51" s="21">
        <f t="shared" si="6"/>
        <v>0.4</v>
      </c>
      <c r="H51" s="21"/>
      <c r="I51" s="21"/>
      <c r="J51" s="21"/>
      <c r="K51" s="21">
        <f t="shared" si="7"/>
        <v>0</v>
      </c>
      <c r="L51" s="21">
        <f t="shared" si="8"/>
        <v>0</v>
      </c>
      <c r="M51" s="1"/>
      <c r="N51" s="82"/>
      <c r="O51" s="55"/>
      <c r="P51" s="55"/>
      <c r="Q51" s="55"/>
      <c r="R51" s="55"/>
      <c r="S51" s="55"/>
      <c r="T51" s="55"/>
      <c r="U51" s="83"/>
      <c r="W51" s="24" t="s">
        <v>50</v>
      </c>
      <c r="X51" s="2" t="s">
        <v>90</v>
      </c>
      <c r="Y51" s="21"/>
      <c r="Z51" s="2">
        <v>0.4</v>
      </c>
      <c r="AA51" s="21"/>
      <c r="AB51" s="21"/>
      <c r="AC51" s="21">
        <f t="shared" si="9"/>
        <v>0.4</v>
      </c>
      <c r="AD51" s="21"/>
      <c r="AE51" s="21"/>
      <c r="AF51" s="21"/>
      <c r="AG51" s="21">
        <f t="shared" si="10"/>
        <v>0</v>
      </c>
      <c r="AH51" s="21">
        <f t="shared" si="11"/>
        <v>0</v>
      </c>
    </row>
    <row r="52" spans="1:34" ht="22.2" thickBot="1" x14ac:dyDescent="0.35">
      <c r="A52" s="24" t="s">
        <v>51</v>
      </c>
      <c r="B52" s="2" t="s">
        <v>105</v>
      </c>
      <c r="C52" s="21"/>
      <c r="D52" s="2">
        <v>0.8</v>
      </c>
      <c r="E52" s="21"/>
      <c r="F52" s="21"/>
      <c r="G52" s="21">
        <f t="shared" si="6"/>
        <v>0.8</v>
      </c>
      <c r="H52" s="21"/>
      <c r="I52" s="21"/>
      <c r="J52" s="21"/>
      <c r="K52" s="21">
        <f t="shared" si="7"/>
        <v>0</v>
      </c>
      <c r="L52" s="21">
        <f t="shared" si="8"/>
        <v>0</v>
      </c>
      <c r="N52" s="84" t="s">
        <v>184</v>
      </c>
      <c r="O52" s="46" t="s">
        <v>185</v>
      </c>
      <c r="P52" s="46" t="s">
        <v>186</v>
      </c>
      <c r="Q52" s="46" t="s">
        <v>187</v>
      </c>
      <c r="R52" s="46" t="s">
        <v>188</v>
      </c>
      <c r="S52" s="46" t="s">
        <v>189</v>
      </c>
      <c r="T52" s="46" t="s">
        <v>190</v>
      </c>
      <c r="U52" s="85" t="s">
        <v>191</v>
      </c>
      <c r="W52" s="24" t="s">
        <v>51</v>
      </c>
      <c r="X52" s="2" t="s">
        <v>105</v>
      </c>
      <c r="Y52" s="21"/>
      <c r="Z52" s="2">
        <v>0.8</v>
      </c>
      <c r="AA52" s="21"/>
      <c r="AB52" s="21"/>
      <c r="AC52" s="21">
        <f t="shared" si="9"/>
        <v>0.8</v>
      </c>
      <c r="AD52" s="21"/>
      <c r="AE52" s="21"/>
      <c r="AF52" s="21"/>
      <c r="AG52" s="21">
        <f t="shared" si="10"/>
        <v>0</v>
      </c>
      <c r="AH52" s="21">
        <f t="shared" si="11"/>
        <v>0</v>
      </c>
    </row>
    <row r="53" spans="1:34" ht="43.2" customHeight="1" thickBot="1" x14ac:dyDescent="0.35">
      <c r="A53" s="24" t="s">
        <v>52</v>
      </c>
      <c r="B53" s="2" t="s">
        <v>105</v>
      </c>
      <c r="C53" s="21"/>
      <c r="D53" s="2">
        <v>0.625</v>
      </c>
      <c r="E53" s="21"/>
      <c r="F53" s="21"/>
      <c r="G53" s="21">
        <f t="shared" si="6"/>
        <v>0.625</v>
      </c>
      <c r="H53" s="21"/>
      <c r="I53" s="21"/>
      <c r="J53" s="21"/>
      <c r="K53" s="21">
        <f t="shared" si="7"/>
        <v>0</v>
      </c>
      <c r="L53" s="21">
        <f t="shared" si="8"/>
        <v>0</v>
      </c>
      <c r="N53" s="86" t="s">
        <v>192</v>
      </c>
      <c r="O53" s="47">
        <v>1</v>
      </c>
      <c r="P53" s="47">
        <v>1</v>
      </c>
      <c r="Q53" s="47">
        <v>1</v>
      </c>
      <c r="R53" s="47">
        <v>1</v>
      </c>
      <c r="S53" s="47">
        <v>1</v>
      </c>
      <c r="T53" s="47">
        <v>1</v>
      </c>
      <c r="U53" s="87">
        <v>1</v>
      </c>
      <c r="W53" s="24" t="s">
        <v>52</v>
      </c>
      <c r="X53" s="2" t="s">
        <v>105</v>
      </c>
      <c r="Y53" s="21"/>
      <c r="Z53" s="2">
        <v>0.625</v>
      </c>
      <c r="AA53" s="21"/>
      <c r="AB53" s="21"/>
      <c r="AC53" s="21">
        <f t="shared" si="9"/>
        <v>0.625</v>
      </c>
      <c r="AD53" s="21"/>
      <c r="AE53" s="21"/>
      <c r="AF53" s="21"/>
      <c r="AG53" s="21">
        <f t="shared" si="10"/>
        <v>0</v>
      </c>
      <c r="AH53" s="21">
        <f t="shared" si="11"/>
        <v>0</v>
      </c>
    </row>
    <row r="54" spans="1:34" ht="36" customHeight="1" thickBot="1" x14ac:dyDescent="0.35">
      <c r="A54" s="24" t="s">
        <v>53</v>
      </c>
      <c r="B54" s="2" t="s">
        <v>105</v>
      </c>
      <c r="C54" s="21"/>
      <c r="D54" s="2">
        <v>0.75</v>
      </c>
      <c r="E54" s="21"/>
      <c r="F54" s="21"/>
      <c r="G54" s="21">
        <f t="shared" si="6"/>
        <v>0.75</v>
      </c>
      <c r="H54" s="21"/>
      <c r="I54" s="21"/>
      <c r="J54" s="21"/>
      <c r="K54" s="21">
        <f t="shared" si="7"/>
        <v>0</v>
      </c>
      <c r="L54" s="21">
        <f t="shared" si="8"/>
        <v>0</v>
      </c>
      <c r="N54" s="86" t="s">
        <v>193</v>
      </c>
      <c r="O54" s="48">
        <v>0.9</v>
      </c>
      <c r="P54" s="48">
        <v>0.5</v>
      </c>
      <c r="Q54" s="48">
        <v>0.1</v>
      </c>
      <c r="R54" s="48">
        <v>0.25</v>
      </c>
      <c r="S54" s="48">
        <v>0.5</v>
      </c>
      <c r="T54" s="48">
        <v>0.8</v>
      </c>
      <c r="U54" s="88">
        <v>0.3</v>
      </c>
      <c r="W54" s="24" t="s">
        <v>53</v>
      </c>
      <c r="X54" s="2" t="s">
        <v>105</v>
      </c>
      <c r="Y54" s="21"/>
      <c r="Z54" s="2">
        <v>0.75</v>
      </c>
      <c r="AA54" s="21"/>
      <c r="AB54" s="21"/>
      <c r="AC54" s="21">
        <f t="shared" si="9"/>
        <v>0.75</v>
      </c>
      <c r="AD54" s="21"/>
      <c r="AE54" s="21"/>
      <c r="AF54" s="21"/>
      <c r="AG54" s="21">
        <f t="shared" si="10"/>
        <v>0</v>
      </c>
      <c r="AH54" s="21">
        <f t="shared" si="11"/>
        <v>0</v>
      </c>
    </row>
    <row r="55" spans="1:34" ht="21.6" customHeight="1" thickBot="1" x14ac:dyDescent="0.35">
      <c r="A55" s="24" t="s">
        <v>54</v>
      </c>
      <c r="B55" s="2" t="s">
        <v>105</v>
      </c>
      <c r="C55" s="21"/>
      <c r="D55" s="2">
        <v>0.75</v>
      </c>
      <c r="E55" s="21"/>
      <c r="F55" s="21"/>
      <c r="G55" s="21">
        <f t="shared" si="6"/>
        <v>0.75</v>
      </c>
      <c r="H55" s="21"/>
      <c r="I55" s="21"/>
      <c r="J55" s="21"/>
      <c r="K55" s="21">
        <f t="shared" si="7"/>
        <v>0</v>
      </c>
      <c r="L55" s="21">
        <f t="shared" si="8"/>
        <v>0</v>
      </c>
      <c r="N55" s="89"/>
      <c r="O55" s="90"/>
      <c r="P55" s="90"/>
      <c r="Q55" s="90"/>
      <c r="R55" s="90"/>
      <c r="S55" s="90"/>
      <c r="T55" s="90"/>
      <c r="U55" s="91"/>
      <c r="W55" s="24" t="s">
        <v>54</v>
      </c>
      <c r="X55" s="2" t="s">
        <v>105</v>
      </c>
      <c r="Y55" s="21"/>
      <c r="Z55" s="2">
        <v>0.75</v>
      </c>
      <c r="AA55" s="21"/>
      <c r="AB55" s="21"/>
      <c r="AC55" s="21">
        <f t="shared" si="9"/>
        <v>0.75</v>
      </c>
      <c r="AD55" s="21"/>
      <c r="AE55" s="21"/>
      <c r="AF55" s="21"/>
      <c r="AG55" s="21">
        <f t="shared" si="10"/>
        <v>0</v>
      </c>
      <c r="AH55" s="21">
        <f t="shared" si="11"/>
        <v>0</v>
      </c>
    </row>
    <row r="56" spans="1:34" ht="32.4" customHeight="1" x14ac:dyDescent="0.3">
      <c r="A56" s="24" t="s">
        <v>55</v>
      </c>
      <c r="B56" s="2" t="s">
        <v>105</v>
      </c>
      <c r="C56" s="21"/>
      <c r="D56" s="2">
        <v>0.8</v>
      </c>
      <c r="E56" s="21"/>
      <c r="F56" s="21"/>
      <c r="G56" s="21">
        <f t="shared" si="6"/>
        <v>0.8</v>
      </c>
      <c r="H56" s="21"/>
      <c r="I56" s="21"/>
      <c r="J56" s="21"/>
      <c r="K56" s="21">
        <f t="shared" si="7"/>
        <v>0</v>
      </c>
      <c r="L56" s="21">
        <f t="shared" si="8"/>
        <v>0</v>
      </c>
      <c r="N56" s="74" t="s">
        <v>194</v>
      </c>
      <c r="O56" s="72" t="s">
        <v>196</v>
      </c>
      <c r="P56" s="68" t="s">
        <v>197</v>
      </c>
      <c r="Q56" s="65" t="s">
        <v>198</v>
      </c>
      <c r="R56" s="62" t="s">
        <v>199</v>
      </c>
      <c r="S56" s="59" t="s">
        <v>200</v>
      </c>
      <c r="T56" s="56" t="s">
        <v>201</v>
      </c>
      <c r="U56" s="92" t="s">
        <v>202</v>
      </c>
      <c r="W56" s="24" t="s">
        <v>55</v>
      </c>
      <c r="X56" s="2" t="s">
        <v>105</v>
      </c>
      <c r="Y56" s="21"/>
      <c r="Z56" s="2">
        <v>0.8</v>
      </c>
      <c r="AA56" s="21"/>
      <c r="AB56" s="21"/>
      <c r="AC56" s="21">
        <f t="shared" si="9"/>
        <v>0.8</v>
      </c>
      <c r="AD56" s="21"/>
      <c r="AE56" s="21"/>
      <c r="AF56" s="21"/>
      <c r="AG56" s="21">
        <f t="shared" si="10"/>
        <v>0</v>
      </c>
      <c r="AH56" s="21">
        <f t="shared" si="11"/>
        <v>0</v>
      </c>
    </row>
    <row r="57" spans="1:34" ht="43.2" customHeight="1" x14ac:dyDescent="0.3">
      <c r="A57" s="24" t="s">
        <v>56</v>
      </c>
      <c r="B57" s="2" t="s">
        <v>91</v>
      </c>
      <c r="C57" s="21"/>
      <c r="D57" s="2">
        <v>1</v>
      </c>
      <c r="E57" s="21"/>
      <c r="F57" s="21"/>
      <c r="G57" s="21">
        <f t="shared" si="6"/>
        <v>1</v>
      </c>
      <c r="H57" s="21"/>
      <c r="I57" s="21"/>
      <c r="J57" s="21"/>
      <c r="K57" s="21">
        <f t="shared" si="7"/>
        <v>0</v>
      </c>
      <c r="L57" s="21">
        <f t="shared" si="8"/>
        <v>0</v>
      </c>
      <c r="N57" s="74"/>
      <c r="O57" s="71"/>
      <c r="P57" s="69"/>
      <c r="Q57" s="66"/>
      <c r="R57" s="63"/>
      <c r="S57" s="60"/>
      <c r="T57" s="57"/>
      <c r="U57" s="93"/>
      <c r="W57" s="24" t="s">
        <v>56</v>
      </c>
      <c r="X57" s="2" t="s">
        <v>91</v>
      </c>
      <c r="Y57" s="21"/>
      <c r="Z57" s="2">
        <v>1</v>
      </c>
      <c r="AA57" s="21"/>
      <c r="AB57" s="21"/>
      <c r="AC57" s="21">
        <f t="shared" si="9"/>
        <v>1</v>
      </c>
      <c r="AD57" s="21"/>
      <c r="AE57" s="21"/>
      <c r="AF57" s="21"/>
      <c r="AG57" s="21">
        <f t="shared" si="10"/>
        <v>0</v>
      </c>
      <c r="AH57" s="21">
        <f t="shared" si="11"/>
        <v>0</v>
      </c>
    </row>
    <row r="58" spans="1:34" ht="21.6" customHeight="1" x14ac:dyDescent="0.3">
      <c r="A58" s="24" t="s">
        <v>57</v>
      </c>
      <c r="B58" s="2" t="s">
        <v>6</v>
      </c>
      <c r="C58" s="21"/>
      <c r="D58" s="2">
        <v>1.2</v>
      </c>
      <c r="E58" s="21"/>
      <c r="F58" s="21"/>
      <c r="G58" s="21">
        <f t="shared" si="6"/>
        <v>1.2</v>
      </c>
      <c r="H58" s="21"/>
      <c r="I58" s="21"/>
      <c r="J58" s="21"/>
      <c r="K58" s="21">
        <f t="shared" si="7"/>
        <v>0</v>
      </c>
      <c r="L58" s="21">
        <f t="shared" si="8"/>
        <v>0</v>
      </c>
      <c r="N58" s="74" t="s">
        <v>195</v>
      </c>
      <c r="O58" s="71"/>
      <c r="P58" s="69"/>
      <c r="Q58" s="66"/>
      <c r="R58" s="63"/>
      <c r="S58" s="60"/>
      <c r="T58" s="57"/>
      <c r="U58" s="93"/>
      <c r="W58" s="24" t="s">
        <v>57</v>
      </c>
      <c r="X58" s="2" t="s">
        <v>6</v>
      </c>
      <c r="Y58" s="21"/>
      <c r="Z58" s="2">
        <v>1.2</v>
      </c>
      <c r="AA58" s="21"/>
      <c r="AB58" s="21"/>
      <c r="AC58" s="21">
        <f t="shared" si="9"/>
        <v>1.2</v>
      </c>
      <c r="AD58" s="21"/>
      <c r="AE58" s="21"/>
      <c r="AF58" s="21"/>
      <c r="AG58" s="21">
        <f t="shared" si="10"/>
        <v>0</v>
      </c>
      <c r="AH58" s="21">
        <f t="shared" si="11"/>
        <v>0</v>
      </c>
    </row>
    <row r="59" spans="1:34" ht="32.4" customHeight="1" thickBot="1" x14ac:dyDescent="0.35">
      <c r="A59" s="24" t="s">
        <v>58</v>
      </c>
      <c r="B59" s="2" t="s">
        <v>6</v>
      </c>
      <c r="C59" s="21"/>
      <c r="D59" s="2">
        <v>0.7</v>
      </c>
      <c r="E59" s="21"/>
      <c r="F59" s="21"/>
      <c r="G59" s="21">
        <f t="shared" si="6"/>
        <v>0.7</v>
      </c>
      <c r="H59" s="21"/>
      <c r="I59" s="21"/>
      <c r="J59" s="21"/>
      <c r="K59" s="21">
        <f t="shared" si="7"/>
        <v>0</v>
      </c>
      <c r="L59" s="21">
        <f t="shared" si="8"/>
        <v>0</v>
      </c>
      <c r="N59" s="74"/>
      <c r="O59" s="73"/>
      <c r="P59" s="70"/>
      <c r="Q59" s="67"/>
      <c r="R59" s="64"/>
      <c r="S59" s="61"/>
      <c r="T59" s="58"/>
      <c r="U59" s="94"/>
      <c r="W59" s="24" t="s">
        <v>58</v>
      </c>
      <c r="X59" s="2" t="s">
        <v>6</v>
      </c>
      <c r="Y59" s="21"/>
      <c r="Z59" s="2">
        <v>0.7</v>
      </c>
      <c r="AA59" s="21"/>
      <c r="AB59" s="21"/>
      <c r="AC59" s="21">
        <f t="shared" si="9"/>
        <v>0.7</v>
      </c>
      <c r="AD59" s="21"/>
      <c r="AE59" s="21"/>
      <c r="AF59" s="21"/>
      <c r="AG59" s="21">
        <f t="shared" si="10"/>
        <v>0</v>
      </c>
      <c r="AH59" s="21">
        <f t="shared" si="11"/>
        <v>0</v>
      </c>
    </row>
    <row r="60" spans="1:34" ht="21.6" customHeight="1" thickBot="1" x14ac:dyDescent="0.35">
      <c r="A60" s="24" t="s">
        <v>59</v>
      </c>
      <c r="B60" s="2" t="s">
        <v>6</v>
      </c>
      <c r="C60" s="21"/>
      <c r="D60" s="2">
        <v>1.2</v>
      </c>
      <c r="E60" s="21"/>
      <c r="F60" s="21"/>
      <c r="G60" s="21">
        <f t="shared" si="6"/>
        <v>1.2</v>
      </c>
      <c r="H60" s="21"/>
      <c r="I60" s="21"/>
      <c r="J60" s="21"/>
      <c r="K60" s="21">
        <f t="shared" si="7"/>
        <v>0</v>
      </c>
      <c r="L60" s="21">
        <f t="shared" si="8"/>
        <v>0</v>
      </c>
      <c r="N60" s="95" t="s">
        <v>196</v>
      </c>
      <c r="O60" s="49">
        <v>1</v>
      </c>
      <c r="P60" s="50">
        <v>0.9</v>
      </c>
      <c r="Q60" s="51">
        <v>0.9</v>
      </c>
      <c r="R60" s="52">
        <v>0.75</v>
      </c>
      <c r="S60" s="53">
        <v>0.5</v>
      </c>
      <c r="T60" s="54">
        <v>0.25</v>
      </c>
      <c r="U60" s="96">
        <v>0.1</v>
      </c>
      <c r="W60" s="24" t="s">
        <v>59</v>
      </c>
      <c r="X60" s="2" t="s">
        <v>6</v>
      </c>
      <c r="Y60" s="21"/>
      <c r="Z60" s="2">
        <v>1.2</v>
      </c>
      <c r="AA60" s="21"/>
      <c r="AB60" s="21"/>
      <c r="AC60" s="21">
        <f t="shared" si="9"/>
        <v>1.2</v>
      </c>
      <c r="AD60" s="21"/>
      <c r="AE60" s="21"/>
      <c r="AF60" s="21"/>
      <c r="AG60" s="21">
        <f t="shared" si="10"/>
        <v>0</v>
      </c>
      <c r="AH60" s="21">
        <f t="shared" si="11"/>
        <v>0</v>
      </c>
    </row>
    <row r="61" spans="1:34" ht="32.4" customHeight="1" thickBot="1" x14ac:dyDescent="0.35">
      <c r="A61" s="24" t="s">
        <v>60</v>
      </c>
      <c r="B61" s="2" t="s">
        <v>6</v>
      </c>
      <c r="C61" s="21"/>
      <c r="D61" s="2">
        <v>2</v>
      </c>
      <c r="E61" s="21"/>
      <c r="F61" s="21"/>
      <c r="G61" s="21">
        <f t="shared" si="6"/>
        <v>2</v>
      </c>
      <c r="H61" s="21"/>
      <c r="I61" s="21"/>
      <c r="J61" s="21"/>
      <c r="K61" s="21">
        <f t="shared" si="7"/>
        <v>0</v>
      </c>
      <c r="L61" s="21">
        <f t="shared" si="8"/>
        <v>0</v>
      </c>
      <c r="N61" s="95" t="s">
        <v>197</v>
      </c>
      <c r="O61" s="49">
        <v>0.9</v>
      </c>
      <c r="P61" s="50">
        <v>1</v>
      </c>
      <c r="Q61" s="51">
        <v>0.9</v>
      </c>
      <c r="R61" s="52">
        <v>0.75</v>
      </c>
      <c r="S61" s="53">
        <v>0.5</v>
      </c>
      <c r="T61" s="54">
        <v>0.3</v>
      </c>
      <c r="U61" s="96">
        <v>0.2</v>
      </c>
      <c r="W61" s="24" t="s">
        <v>60</v>
      </c>
      <c r="X61" s="2" t="s">
        <v>6</v>
      </c>
      <c r="Y61" s="21"/>
      <c r="Z61" s="2">
        <v>2</v>
      </c>
      <c r="AA61" s="21"/>
      <c r="AB61" s="21"/>
      <c r="AC61" s="21">
        <f t="shared" si="9"/>
        <v>2</v>
      </c>
      <c r="AD61" s="21"/>
      <c r="AE61" s="21"/>
      <c r="AF61" s="21"/>
      <c r="AG61" s="21">
        <f t="shared" si="10"/>
        <v>0</v>
      </c>
      <c r="AH61" s="21">
        <f t="shared" si="11"/>
        <v>0</v>
      </c>
    </row>
    <row r="62" spans="1:34" ht="32.4" customHeight="1" thickBot="1" x14ac:dyDescent="0.35">
      <c r="A62" s="24" t="s">
        <v>61</v>
      </c>
      <c r="B62" s="2" t="s">
        <v>6</v>
      </c>
      <c r="C62" s="21"/>
      <c r="D62" s="2">
        <v>2.75</v>
      </c>
      <c r="E62" s="21"/>
      <c r="F62" s="21"/>
      <c r="G62" s="21">
        <f t="shared" si="6"/>
        <v>2.75</v>
      </c>
      <c r="H62" s="21"/>
      <c r="I62" s="21"/>
      <c r="J62" s="21"/>
      <c r="K62" s="21">
        <f t="shared" si="7"/>
        <v>0</v>
      </c>
      <c r="L62" s="21">
        <f t="shared" si="8"/>
        <v>0</v>
      </c>
      <c r="N62" s="95" t="s">
        <v>198</v>
      </c>
      <c r="O62" s="49">
        <v>0.8</v>
      </c>
      <c r="P62" s="50">
        <v>0.9</v>
      </c>
      <c r="Q62" s="51">
        <v>1</v>
      </c>
      <c r="R62" s="52">
        <v>0.8</v>
      </c>
      <c r="S62" s="53">
        <v>0.6</v>
      </c>
      <c r="T62" s="54">
        <v>0.4</v>
      </c>
      <c r="U62" s="96">
        <v>0.3</v>
      </c>
      <c r="W62" s="24" t="s">
        <v>61</v>
      </c>
      <c r="X62" s="2" t="s">
        <v>6</v>
      </c>
      <c r="Y62" s="21"/>
      <c r="Z62" s="2">
        <v>2.75</v>
      </c>
      <c r="AA62" s="21"/>
      <c r="AB62" s="21"/>
      <c r="AC62" s="21">
        <f t="shared" si="9"/>
        <v>2.75</v>
      </c>
      <c r="AD62" s="21"/>
      <c r="AE62" s="21"/>
      <c r="AF62" s="21"/>
      <c r="AG62" s="21">
        <f t="shared" si="10"/>
        <v>0</v>
      </c>
      <c r="AH62" s="21">
        <f t="shared" si="11"/>
        <v>0</v>
      </c>
    </row>
    <row r="63" spans="1:34" ht="21.6" customHeight="1" thickBot="1" x14ac:dyDescent="0.35">
      <c r="A63" s="24" t="s">
        <v>62</v>
      </c>
      <c r="B63" s="2" t="s">
        <v>6</v>
      </c>
      <c r="C63" s="21"/>
      <c r="D63" s="2">
        <v>2.5</v>
      </c>
      <c r="E63" s="21"/>
      <c r="F63" s="21"/>
      <c r="G63" s="21">
        <f t="shared" si="6"/>
        <v>2.5</v>
      </c>
      <c r="H63" s="21"/>
      <c r="I63" s="21"/>
      <c r="J63" s="21"/>
      <c r="K63" s="21">
        <f t="shared" si="7"/>
        <v>0</v>
      </c>
      <c r="L63" s="21">
        <f t="shared" si="8"/>
        <v>0</v>
      </c>
      <c r="N63" s="95" t="s">
        <v>199</v>
      </c>
      <c r="O63" s="49">
        <v>0.75</v>
      </c>
      <c r="P63" s="50">
        <v>0.8</v>
      </c>
      <c r="Q63" s="51" t="s">
        <v>87</v>
      </c>
      <c r="R63" s="52">
        <v>1</v>
      </c>
      <c r="S63" s="53">
        <v>0.75</v>
      </c>
      <c r="T63" s="54">
        <v>0.5</v>
      </c>
      <c r="U63" s="96">
        <v>0.7</v>
      </c>
      <c r="W63" s="24" t="s">
        <v>62</v>
      </c>
      <c r="X63" s="2" t="s">
        <v>6</v>
      </c>
      <c r="Y63" s="21"/>
      <c r="Z63" s="2">
        <v>2.5</v>
      </c>
      <c r="AA63" s="21"/>
      <c r="AB63" s="21"/>
      <c r="AC63" s="21">
        <f t="shared" si="9"/>
        <v>2.5</v>
      </c>
      <c r="AD63" s="21"/>
      <c r="AE63" s="21"/>
      <c r="AF63" s="21"/>
      <c r="AG63" s="21">
        <f t="shared" si="10"/>
        <v>0</v>
      </c>
      <c r="AH63" s="21">
        <f t="shared" si="11"/>
        <v>0</v>
      </c>
    </row>
    <row r="64" spans="1:34" ht="22.2" thickBot="1" x14ac:dyDescent="0.35">
      <c r="A64" s="24" t="s">
        <v>63</v>
      </c>
      <c r="B64" s="2" t="s">
        <v>6</v>
      </c>
      <c r="C64" s="21"/>
      <c r="D64" s="2">
        <v>3</v>
      </c>
      <c r="E64" s="21"/>
      <c r="F64" s="21"/>
      <c r="G64" s="21">
        <f t="shared" si="6"/>
        <v>3</v>
      </c>
      <c r="H64" s="21"/>
      <c r="I64" s="21"/>
      <c r="J64" s="21"/>
      <c r="K64" s="21">
        <f t="shared" si="7"/>
        <v>0</v>
      </c>
      <c r="L64" s="21">
        <f t="shared" si="8"/>
        <v>0</v>
      </c>
      <c r="N64" s="95" t="s">
        <v>203</v>
      </c>
      <c r="O64" s="49">
        <v>0.5</v>
      </c>
      <c r="P64" s="50">
        <v>0.6</v>
      </c>
      <c r="Q64" s="51">
        <v>0.7</v>
      </c>
      <c r="R64" s="52">
        <v>0.9</v>
      </c>
      <c r="S64" s="53">
        <v>1</v>
      </c>
      <c r="T64" s="54">
        <v>0.9</v>
      </c>
      <c r="U64" s="96">
        <v>0.8</v>
      </c>
      <c r="W64" s="24" t="s">
        <v>63</v>
      </c>
      <c r="X64" s="2" t="s">
        <v>6</v>
      </c>
      <c r="Y64" s="21"/>
      <c r="Z64" s="2">
        <v>3</v>
      </c>
      <c r="AA64" s="21"/>
      <c r="AB64" s="21"/>
      <c r="AC64" s="21">
        <f t="shared" si="9"/>
        <v>3</v>
      </c>
      <c r="AD64" s="21"/>
      <c r="AE64" s="21"/>
      <c r="AF64" s="21"/>
      <c r="AG64" s="21">
        <f t="shared" si="10"/>
        <v>0</v>
      </c>
      <c r="AH64" s="21">
        <f t="shared" si="11"/>
        <v>0</v>
      </c>
    </row>
    <row r="65" spans="1:34" ht="27" thickBot="1" x14ac:dyDescent="0.35">
      <c r="A65" s="24" t="s">
        <v>64</v>
      </c>
      <c r="B65" s="25"/>
      <c r="C65" s="21"/>
      <c r="D65" s="2">
        <v>2</v>
      </c>
      <c r="E65" s="21"/>
      <c r="F65" s="21"/>
      <c r="G65" s="21">
        <f t="shared" si="6"/>
        <v>2</v>
      </c>
      <c r="H65" s="21"/>
      <c r="I65" s="21"/>
      <c r="J65" s="21"/>
      <c r="K65" s="21">
        <f t="shared" si="7"/>
        <v>0</v>
      </c>
      <c r="L65" s="21">
        <f t="shared" si="8"/>
        <v>0</v>
      </c>
      <c r="N65" s="95" t="s">
        <v>204</v>
      </c>
      <c r="O65" s="49">
        <v>0.3</v>
      </c>
      <c r="P65" s="50">
        <v>0.4</v>
      </c>
      <c r="Q65" s="51">
        <v>0.5</v>
      </c>
      <c r="R65" s="52">
        <v>0.75</v>
      </c>
      <c r="S65" s="53">
        <v>0.9</v>
      </c>
      <c r="T65" s="54">
        <v>1</v>
      </c>
      <c r="U65" s="96">
        <v>0.9</v>
      </c>
      <c r="W65" s="24" t="s">
        <v>64</v>
      </c>
      <c r="X65" s="25"/>
      <c r="Y65" s="21"/>
      <c r="Z65" s="2">
        <v>2</v>
      </c>
      <c r="AA65" s="21"/>
      <c r="AB65" s="21"/>
      <c r="AC65" s="21">
        <f t="shared" si="9"/>
        <v>2</v>
      </c>
      <c r="AD65" s="21"/>
      <c r="AE65" s="21"/>
      <c r="AF65" s="21"/>
      <c r="AG65" s="21">
        <f t="shared" si="10"/>
        <v>0</v>
      </c>
      <c r="AH65" s="21">
        <f t="shared" si="11"/>
        <v>0</v>
      </c>
    </row>
    <row r="66" spans="1:34" ht="32.4" x14ac:dyDescent="0.3">
      <c r="A66" s="24" t="s">
        <v>65</v>
      </c>
      <c r="B66" s="2" t="s">
        <v>92</v>
      </c>
      <c r="C66" s="21"/>
      <c r="D66" s="2">
        <v>0.1</v>
      </c>
      <c r="E66" s="21"/>
      <c r="F66" s="21"/>
      <c r="G66" s="21">
        <f t="shared" si="6"/>
        <v>0.1</v>
      </c>
      <c r="H66" s="21"/>
      <c r="I66" s="21"/>
      <c r="J66" s="21"/>
      <c r="K66" s="21">
        <f t="shared" si="7"/>
        <v>0</v>
      </c>
      <c r="L66" s="21">
        <f t="shared" si="8"/>
        <v>0</v>
      </c>
      <c r="N66" s="97" t="s">
        <v>202</v>
      </c>
      <c r="O66" s="98">
        <v>0.1</v>
      </c>
      <c r="P66" s="99">
        <v>0.2</v>
      </c>
      <c r="Q66" s="100">
        <v>0.3</v>
      </c>
      <c r="R66" s="101">
        <v>0.5</v>
      </c>
      <c r="S66" s="102">
        <v>0.8</v>
      </c>
      <c r="T66" s="103">
        <v>0.9</v>
      </c>
      <c r="U66" s="104">
        <v>1</v>
      </c>
      <c r="W66" s="24" t="s">
        <v>65</v>
      </c>
      <c r="X66" s="2" t="s">
        <v>92</v>
      </c>
      <c r="Y66" s="21"/>
      <c r="Z66" s="2">
        <v>0.1</v>
      </c>
      <c r="AA66" s="21"/>
      <c r="AB66" s="21"/>
      <c r="AC66" s="21">
        <f t="shared" si="9"/>
        <v>0.1</v>
      </c>
      <c r="AD66" s="21"/>
      <c r="AE66" s="21"/>
      <c r="AF66" s="21"/>
      <c r="AG66" s="21">
        <f t="shared" si="10"/>
        <v>0</v>
      </c>
      <c r="AH66" s="21">
        <f t="shared" si="11"/>
        <v>0</v>
      </c>
    </row>
    <row r="67" spans="1:34" ht="22.2" thickBot="1" x14ac:dyDescent="0.35">
      <c r="A67" s="24" t="s">
        <v>66</v>
      </c>
      <c r="B67" s="2" t="s">
        <v>93</v>
      </c>
      <c r="C67" s="21"/>
      <c r="D67" s="2">
        <v>0.3</v>
      </c>
      <c r="E67" s="21"/>
      <c r="F67" s="21"/>
      <c r="G67" s="21">
        <f t="shared" si="6"/>
        <v>0.3</v>
      </c>
      <c r="H67" s="21"/>
      <c r="I67" s="21"/>
      <c r="J67" s="21"/>
      <c r="K67" s="21">
        <f t="shared" si="7"/>
        <v>0</v>
      </c>
      <c r="L67" s="21">
        <f t="shared" si="8"/>
        <v>0</v>
      </c>
      <c r="W67" s="24" t="s">
        <v>66</v>
      </c>
      <c r="X67" s="2" t="s">
        <v>93</v>
      </c>
      <c r="Y67" s="21"/>
      <c r="Z67" s="2">
        <v>0.3</v>
      </c>
      <c r="AA67" s="21"/>
      <c r="AB67" s="21"/>
      <c r="AC67" s="21">
        <f t="shared" si="9"/>
        <v>0.3</v>
      </c>
      <c r="AD67" s="21"/>
      <c r="AE67" s="21"/>
      <c r="AF67" s="21"/>
      <c r="AG67" s="21">
        <f t="shared" si="10"/>
        <v>0</v>
      </c>
      <c r="AH67" s="21">
        <f t="shared" si="11"/>
        <v>0</v>
      </c>
    </row>
    <row r="68" spans="1:34" ht="21.6" customHeight="1" x14ac:dyDescent="0.3">
      <c r="A68" s="24" t="s">
        <v>67</v>
      </c>
      <c r="B68" s="2" t="s">
        <v>93</v>
      </c>
      <c r="C68" s="21"/>
      <c r="D68" s="2">
        <v>0.4</v>
      </c>
      <c r="E68" s="21"/>
      <c r="F68" s="21"/>
      <c r="G68" s="21">
        <f t="shared" si="6"/>
        <v>0.4</v>
      </c>
      <c r="H68" s="21"/>
      <c r="I68" s="21"/>
      <c r="J68" s="21"/>
      <c r="K68" s="21">
        <f t="shared" si="7"/>
        <v>0</v>
      </c>
      <c r="L68" s="21">
        <f t="shared" si="8"/>
        <v>0</v>
      </c>
      <c r="N68" s="116" t="s">
        <v>106</v>
      </c>
      <c r="O68" s="117"/>
      <c r="P68" s="117"/>
      <c r="Q68" s="117"/>
      <c r="R68" s="117"/>
      <c r="S68" s="117"/>
      <c r="T68" s="117"/>
      <c r="U68" s="118"/>
      <c r="W68" s="24" t="s">
        <v>67</v>
      </c>
      <c r="X68" s="2" t="s">
        <v>93</v>
      </c>
      <c r="Y68" s="21"/>
      <c r="Z68" s="2">
        <v>0.4</v>
      </c>
      <c r="AA68" s="21"/>
      <c r="AB68" s="21"/>
      <c r="AC68" s="21">
        <f t="shared" si="9"/>
        <v>0.4</v>
      </c>
      <c r="AD68" s="21"/>
      <c r="AE68" s="21"/>
      <c r="AF68" s="21"/>
      <c r="AG68" s="21">
        <f t="shared" si="10"/>
        <v>0</v>
      </c>
      <c r="AH68" s="21">
        <f t="shared" si="11"/>
        <v>0</v>
      </c>
    </row>
    <row r="69" spans="1:34" ht="21.6" x14ac:dyDescent="0.3">
      <c r="A69" s="24" t="s">
        <v>68</v>
      </c>
      <c r="B69" s="2" t="s">
        <v>93</v>
      </c>
      <c r="C69" s="21"/>
      <c r="D69" s="2">
        <v>0.6</v>
      </c>
      <c r="E69" s="21"/>
      <c r="F69" s="21"/>
      <c r="G69" s="21">
        <f t="shared" si="6"/>
        <v>0.6</v>
      </c>
      <c r="H69" s="21"/>
      <c r="I69" s="21"/>
      <c r="J69" s="21"/>
      <c r="K69" s="21">
        <f t="shared" si="7"/>
        <v>0</v>
      </c>
      <c r="L69" s="21">
        <f t="shared" si="8"/>
        <v>0</v>
      </c>
      <c r="N69" s="119"/>
      <c r="O69" s="115"/>
      <c r="P69" s="115"/>
      <c r="Q69" s="115"/>
      <c r="R69" s="115"/>
      <c r="S69" s="115"/>
      <c r="T69" s="115"/>
      <c r="U69" s="120"/>
      <c r="W69" s="24" t="s">
        <v>68</v>
      </c>
      <c r="X69" s="2" t="s">
        <v>93</v>
      </c>
      <c r="Y69" s="21"/>
      <c r="Z69" s="2">
        <v>0.6</v>
      </c>
      <c r="AA69" s="21"/>
      <c r="AB69" s="21"/>
      <c r="AC69" s="21">
        <f t="shared" si="9"/>
        <v>0.6</v>
      </c>
      <c r="AD69" s="21"/>
      <c r="AE69" s="21"/>
      <c r="AF69" s="21"/>
      <c r="AG69" s="21">
        <f t="shared" si="10"/>
        <v>0</v>
      </c>
      <c r="AH69" s="21">
        <f t="shared" si="11"/>
        <v>0</v>
      </c>
    </row>
    <row r="70" spans="1:34" ht="21.6" x14ac:dyDescent="0.3">
      <c r="A70" s="24" t="s">
        <v>69</v>
      </c>
      <c r="B70" s="26"/>
      <c r="C70" s="21"/>
      <c r="D70" s="2">
        <v>3</v>
      </c>
      <c r="E70" s="21"/>
      <c r="F70" s="21"/>
      <c r="G70" s="21">
        <f t="shared" si="6"/>
        <v>3</v>
      </c>
      <c r="H70" s="21"/>
      <c r="I70" s="21"/>
      <c r="J70" s="21"/>
      <c r="K70" s="21">
        <f t="shared" si="7"/>
        <v>0</v>
      </c>
      <c r="L70" s="21">
        <f t="shared" si="8"/>
        <v>0</v>
      </c>
      <c r="N70" s="119"/>
      <c r="O70" s="115"/>
      <c r="P70" s="115"/>
      <c r="Q70" s="115"/>
      <c r="R70" s="115"/>
      <c r="S70" s="115"/>
      <c r="T70" s="115"/>
      <c r="U70" s="120"/>
      <c r="W70" s="24" t="s">
        <v>69</v>
      </c>
      <c r="X70" s="26"/>
      <c r="Y70" s="21"/>
      <c r="Z70" s="2">
        <v>3</v>
      </c>
      <c r="AA70" s="21"/>
      <c r="AB70" s="21"/>
      <c r="AC70" s="21">
        <f t="shared" si="9"/>
        <v>3</v>
      </c>
      <c r="AD70" s="21"/>
      <c r="AE70" s="21"/>
      <c r="AF70" s="21"/>
      <c r="AG70" s="21">
        <f t="shared" si="10"/>
        <v>0</v>
      </c>
      <c r="AH70" s="21">
        <f t="shared" si="11"/>
        <v>0</v>
      </c>
    </row>
    <row r="71" spans="1:34" ht="21.6" x14ac:dyDescent="0.3">
      <c r="A71" s="24" t="s">
        <v>70</v>
      </c>
      <c r="B71" s="2" t="s">
        <v>94</v>
      </c>
      <c r="C71" s="21"/>
      <c r="D71" s="2">
        <v>2.75</v>
      </c>
      <c r="E71" s="21"/>
      <c r="F71" s="21"/>
      <c r="G71" s="21">
        <f t="shared" si="6"/>
        <v>2.75</v>
      </c>
      <c r="H71" s="21"/>
      <c r="I71" s="21"/>
      <c r="J71" s="21"/>
      <c r="K71" s="21">
        <f t="shared" si="7"/>
        <v>0</v>
      </c>
      <c r="L71" s="21">
        <f t="shared" si="8"/>
        <v>0</v>
      </c>
      <c r="N71" s="119"/>
      <c r="O71" s="115"/>
      <c r="P71" s="115"/>
      <c r="Q71" s="115"/>
      <c r="R71" s="115"/>
      <c r="S71" s="115"/>
      <c r="T71" s="115"/>
      <c r="U71" s="120"/>
      <c r="W71" s="24" t="s">
        <v>70</v>
      </c>
      <c r="X71" s="2" t="s">
        <v>94</v>
      </c>
      <c r="Y71" s="21"/>
      <c r="Z71" s="2">
        <v>2.75</v>
      </c>
      <c r="AA71" s="21"/>
      <c r="AB71" s="21"/>
      <c r="AC71" s="21">
        <f t="shared" si="9"/>
        <v>2.75</v>
      </c>
      <c r="AD71" s="21"/>
      <c r="AE71" s="21"/>
      <c r="AF71" s="21"/>
      <c r="AG71" s="21">
        <f t="shared" si="10"/>
        <v>0</v>
      </c>
      <c r="AH71" s="21">
        <f t="shared" si="11"/>
        <v>0</v>
      </c>
    </row>
    <row r="72" spans="1:34" x14ac:dyDescent="0.3">
      <c r="A72" s="24" t="s">
        <v>71</v>
      </c>
      <c r="B72" s="2" t="s">
        <v>6</v>
      </c>
      <c r="C72" s="21"/>
      <c r="D72" s="2">
        <v>3</v>
      </c>
      <c r="E72" s="21"/>
      <c r="F72" s="21"/>
      <c r="G72" s="21">
        <f t="shared" si="6"/>
        <v>3</v>
      </c>
      <c r="H72" s="21"/>
      <c r="I72" s="21"/>
      <c r="J72" s="21"/>
      <c r="K72" s="21">
        <f t="shared" si="7"/>
        <v>0</v>
      </c>
      <c r="L72" s="21">
        <f t="shared" si="8"/>
        <v>0</v>
      </c>
      <c r="N72" s="119"/>
      <c r="O72" s="115"/>
      <c r="P72" s="115"/>
      <c r="Q72" s="115"/>
      <c r="R72" s="115"/>
      <c r="S72" s="115"/>
      <c r="T72" s="115"/>
      <c r="U72" s="120"/>
      <c r="W72" s="24" t="s">
        <v>71</v>
      </c>
      <c r="X72" s="2" t="s">
        <v>6</v>
      </c>
      <c r="Y72" s="21"/>
      <c r="Z72" s="2">
        <v>3</v>
      </c>
      <c r="AA72" s="21"/>
      <c r="AB72" s="21"/>
      <c r="AC72" s="21">
        <f t="shared" si="9"/>
        <v>3</v>
      </c>
      <c r="AD72" s="21"/>
      <c r="AE72" s="21"/>
      <c r="AF72" s="21"/>
      <c r="AG72" s="21">
        <f t="shared" si="10"/>
        <v>0</v>
      </c>
      <c r="AH72" s="21">
        <f t="shared" si="11"/>
        <v>0</v>
      </c>
    </row>
    <row r="73" spans="1:34" x14ac:dyDescent="0.3">
      <c r="A73" s="24" t="s">
        <v>72</v>
      </c>
      <c r="B73" s="2" t="s">
        <v>95</v>
      </c>
      <c r="C73" s="21"/>
      <c r="D73" s="2">
        <v>1.2</v>
      </c>
      <c r="E73" s="21"/>
      <c r="F73" s="21"/>
      <c r="G73" s="21">
        <f t="shared" si="6"/>
        <v>1.2</v>
      </c>
      <c r="H73" s="21"/>
      <c r="I73" s="21"/>
      <c r="J73" s="21"/>
      <c r="K73" s="21">
        <f t="shared" si="7"/>
        <v>0</v>
      </c>
      <c r="L73" s="21">
        <f t="shared" si="8"/>
        <v>0</v>
      </c>
      <c r="N73" s="119"/>
      <c r="O73" s="115"/>
      <c r="P73" s="115"/>
      <c r="Q73" s="115"/>
      <c r="R73" s="115"/>
      <c r="S73" s="115"/>
      <c r="T73" s="115"/>
      <c r="U73" s="120"/>
      <c r="W73" s="24" t="s">
        <v>72</v>
      </c>
      <c r="X73" s="2" t="s">
        <v>95</v>
      </c>
      <c r="Y73" s="21"/>
      <c r="Z73" s="2">
        <v>1.2</v>
      </c>
      <c r="AA73" s="21"/>
      <c r="AB73" s="21"/>
      <c r="AC73" s="21">
        <f t="shared" si="9"/>
        <v>1.2</v>
      </c>
      <c r="AD73" s="21"/>
      <c r="AE73" s="21"/>
      <c r="AF73" s="21"/>
      <c r="AG73" s="21">
        <f t="shared" si="10"/>
        <v>0</v>
      </c>
      <c r="AH73" s="21">
        <f t="shared" si="11"/>
        <v>0</v>
      </c>
    </row>
    <row r="74" spans="1:34" x14ac:dyDescent="0.3">
      <c r="A74" s="24" t="s">
        <v>73</v>
      </c>
      <c r="B74" s="2" t="s">
        <v>96</v>
      </c>
      <c r="C74" s="21"/>
      <c r="D74" s="2">
        <v>1.2</v>
      </c>
      <c r="E74" s="21"/>
      <c r="F74" s="21"/>
      <c r="G74" s="21">
        <f t="shared" si="6"/>
        <v>1.2</v>
      </c>
      <c r="H74" s="21"/>
      <c r="I74" s="21"/>
      <c r="J74" s="21"/>
      <c r="K74" s="21">
        <f t="shared" si="7"/>
        <v>0</v>
      </c>
      <c r="L74" s="21">
        <f t="shared" si="8"/>
        <v>0</v>
      </c>
      <c r="N74" s="119"/>
      <c r="O74" s="115"/>
      <c r="P74" s="115"/>
      <c r="Q74" s="115"/>
      <c r="R74" s="115"/>
      <c r="S74" s="115"/>
      <c r="T74" s="115"/>
      <c r="U74" s="120"/>
      <c r="W74" s="24" t="s">
        <v>73</v>
      </c>
      <c r="X74" s="2" t="s">
        <v>96</v>
      </c>
      <c r="Y74" s="21"/>
      <c r="Z74" s="2">
        <v>1.2</v>
      </c>
      <c r="AA74" s="21"/>
      <c r="AB74" s="21"/>
      <c r="AC74" s="21">
        <f t="shared" si="9"/>
        <v>1.2</v>
      </c>
      <c r="AD74" s="21"/>
      <c r="AE74" s="21"/>
      <c r="AF74" s="21"/>
      <c r="AG74" s="21">
        <f t="shared" si="10"/>
        <v>0</v>
      </c>
      <c r="AH74" s="21">
        <f t="shared" si="11"/>
        <v>0</v>
      </c>
    </row>
    <row r="75" spans="1:34" ht="15" thickBot="1" x14ac:dyDescent="0.35">
      <c r="A75" s="24" t="s">
        <v>74</v>
      </c>
      <c r="B75" s="2" t="s">
        <v>97</v>
      </c>
      <c r="C75" s="21"/>
      <c r="D75" s="2">
        <v>0.8</v>
      </c>
      <c r="E75" s="21"/>
      <c r="F75" s="21"/>
      <c r="G75" s="21">
        <f t="shared" si="6"/>
        <v>0.8</v>
      </c>
      <c r="H75" s="21"/>
      <c r="I75" s="21"/>
      <c r="J75" s="21"/>
      <c r="K75" s="21">
        <f t="shared" si="7"/>
        <v>0</v>
      </c>
      <c r="L75" s="21">
        <f t="shared" si="8"/>
        <v>0</v>
      </c>
      <c r="N75" s="121"/>
      <c r="O75" s="122"/>
      <c r="P75" s="122"/>
      <c r="Q75" s="122"/>
      <c r="R75" s="122"/>
      <c r="S75" s="122"/>
      <c r="T75" s="122"/>
      <c r="U75" s="123"/>
      <c r="W75" s="24" t="s">
        <v>74</v>
      </c>
      <c r="X75" s="2" t="s">
        <v>97</v>
      </c>
      <c r="Y75" s="21"/>
      <c r="Z75" s="2">
        <v>0.8</v>
      </c>
      <c r="AA75" s="21"/>
      <c r="AB75" s="21"/>
      <c r="AC75" s="21">
        <f t="shared" si="9"/>
        <v>0.8</v>
      </c>
      <c r="AD75" s="21"/>
      <c r="AE75" s="21"/>
      <c r="AF75" s="21"/>
      <c r="AG75" s="21">
        <f t="shared" si="10"/>
        <v>0</v>
      </c>
      <c r="AH75" s="21">
        <f t="shared" si="11"/>
        <v>0</v>
      </c>
    </row>
    <row r="76" spans="1:34" x14ac:dyDescent="0.3">
      <c r="A76" s="24" t="s">
        <v>75</v>
      </c>
      <c r="B76" s="2" t="s">
        <v>97</v>
      </c>
      <c r="C76" s="21"/>
      <c r="D76" s="2">
        <v>0.9</v>
      </c>
      <c r="E76" s="21"/>
      <c r="F76" s="21"/>
      <c r="G76" s="21">
        <f t="shared" si="6"/>
        <v>0.9</v>
      </c>
      <c r="H76" s="21"/>
      <c r="I76" s="21"/>
      <c r="J76" s="21"/>
      <c r="K76" s="21">
        <f t="shared" si="7"/>
        <v>0</v>
      </c>
      <c r="L76" s="21">
        <f t="shared" si="8"/>
        <v>0</v>
      </c>
      <c r="W76" s="24" t="s">
        <v>75</v>
      </c>
      <c r="X76" s="2" t="s">
        <v>97</v>
      </c>
      <c r="Y76" s="21"/>
      <c r="Z76" s="2">
        <v>0.9</v>
      </c>
      <c r="AA76" s="21"/>
      <c r="AB76" s="21"/>
      <c r="AC76" s="21">
        <f t="shared" si="9"/>
        <v>0.9</v>
      </c>
      <c r="AD76" s="21"/>
      <c r="AE76" s="21"/>
      <c r="AF76" s="21"/>
      <c r="AG76" s="21">
        <f t="shared" si="10"/>
        <v>0</v>
      </c>
      <c r="AH76" s="21">
        <f t="shared" si="11"/>
        <v>0</v>
      </c>
    </row>
    <row r="77" spans="1:34" ht="21.6" x14ac:dyDescent="0.3">
      <c r="A77" s="24" t="s">
        <v>76</v>
      </c>
      <c r="B77" s="2" t="s">
        <v>98</v>
      </c>
      <c r="C77" s="21"/>
      <c r="D77" s="2">
        <v>4.8</v>
      </c>
      <c r="E77" s="21"/>
      <c r="F77" s="21"/>
      <c r="G77" s="21">
        <f t="shared" si="6"/>
        <v>4.8</v>
      </c>
      <c r="H77" s="21"/>
      <c r="I77" s="21"/>
      <c r="J77" s="21"/>
      <c r="K77" s="21">
        <f t="shared" si="7"/>
        <v>0</v>
      </c>
      <c r="L77" s="21">
        <f t="shared" si="8"/>
        <v>0</v>
      </c>
      <c r="W77" s="24" t="s">
        <v>76</v>
      </c>
      <c r="X77" s="2" t="s">
        <v>98</v>
      </c>
      <c r="Y77" s="21"/>
      <c r="Z77" s="2">
        <v>4.8</v>
      </c>
      <c r="AA77" s="21"/>
      <c r="AB77" s="21"/>
      <c r="AC77" s="21">
        <f t="shared" si="9"/>
        <v>4.8</v>
      </c>
      <c r="AD77" s="21"/>
      <c r="AE77" s="21"/>
      <c r="AF77" s="21"/>
      <c r="AG77" s="21">
        <f t="shared" si="10"/>
        <v>0</v>
      </c>
      <c r="AH77" s="21">
        <f t="shared" si="11"/>
        <v>0</v>
      </c>
    </row>
    <row r="78" spans="1:34" x14ac:dyDescent="0.3">
      <c r="A78" s="24" t="s">
        <v>77</v>
      </c>
      <c r="B78" s="2" t="s">
        <v>97</v>
      </c>
      <c r="C78" s="21"/>
      <c r="D78" s="2">
        <v>0.7</v>
      </c>
      <c r="E78" s="21"/>
      <c r="F78" s="21"/>
      <c r="G78" s="21">
        <f t="shared" si="6"/>
        <v>0.7</v>
      </c>
      <c r="H78" s="21"/>
      <c r="I78" s="21"/>
      <c r="J78" s="21"/>
      <c r="K78" s="21">
        <f t="shared" si="7"/>
        <v>0</v>
      </c>
      <c r="L78" s="21">
        <f t="shared" si="8"/>
        <v>0</v>
      </c>
      <c r="W78" s="24" t="s">
        <v>77</v>
      </c>
      <c r="X78" s="2" t="s">
        <v>97</v>
      </c>
      <c r="Y78" s="21"/>
      <c r="Z78" s="2">
        <v>0.7</v>
      </c>
      <c r="AA78" s="21"/>
      <c r="AB78" s="21"/>
      <c r="AC78" s="21">
        <f t="shared" si="9"/>
        <v>0.7</v>
      </c>
      <c r="AD78" s="21"/>
      <c r="AE78" s="21"/>
      <c r="AF78" s="21"/>
      <c r="AG78" s="21">
        <f t="shared" si="10"/>
        <v>0</v>
      </c>
      <c r="AH78" s="21">
        <f t="shared" si="11"/>
        <v>0</v>
      </c>
    </row>
    <row r="79" spans="1:34" ht="21.6" x14ac:dyDescent="0.3">
      <c r="A79" s="24" t="s">
        <v>78</v>
      </c>
      <c r="B79" s="2" t="s">
        <v>99</v>
      </c>
      <c r="C79" s="21"/>
      <c r="D79" s="2">
        <v>5</v>
      </c>
      <c r="E79" s="21"/>
      <c r="F79" s="21"/>
      <c r="G79" s="21">
        <f t="shared" si="6"/>
        <v>5</v>
      </c>
      <c r="H79" s="21"/>
      <c r="I79" s="21"/>
      <c r="J79" s="21"/>
      <c r="K79" s="21">
        <f t="shared" si="7"/>
        <v>0</v>
      </c>
      <c r="L79" s="21">
        <f t="shared" si="8"/>
        <v>0</v>
      </c>
      <c r="W79" s="24" t="s">
        <v>78</v>
      </c>
      <c r="X79" s="2" t="s">
        <v>99</v>
      </c>
      <c r="Y79" s="21"/>
      <c r="Z79" s="2">
        <v>5</v>
      </c>
      <c r="AA79" s="21"/>
      <c r="AB79" s="21"/>
      <c r="AC79" s="21">
        <f t="shared" si="9"/>
        <v>5</v>
      </c>
      <c r="AD79" s="21"/>
      <c r="AE79" s="21"/>
      <c r="AF79" s="21"/>
      <c r="AG79" s="21">
        <f t="shared" si="10"/>
        <v>0</v>
      </c>
      <c r="AH79" s="21">
        <f t="shared" si="11"/>
        <v>0</v>
      </c>
    </row>
    <row r="80" spans="1:34" x14ac:dyDescent="0.3">
      <c r="A80" s="24" t="s">
        <v>79</v>
      </c>
      <c r="B80" s="2" t="s">
        <v>100</v>
      </c>
      <c r="C80" s="21"/>
      <c r="D80" s="2">
        <v>2.5</v>
      </c>
      <c r="E80" s="21"/>
      <c r="F80" s="21"/>
      <c r="G80" s="21">
        <f t="shared" si="6"/>
        <v>2.5</v>
      </c>
      <c r="H80" s="21"/>
      <c r="I80" s="21"/>
      <c r="J80" s="21"/>
      <c r="K80" s="21">
        <f t="shared" si="7"/>
        <v>0</v>
      </c>
      <c r="L80" s="21">
        <f t="shared" si="8"/>
        <v>0</v>
      </c>
      <c r="W80" s="24" t="s">
        <v>79</v>
      </c>
      <c r="X80" s="2" t="s">
        <v>100</v>
      </c>
      <c r="Y80" s="21"/>
      <c r="Z80" s="2">
        <v>2.5</v>
      </c>
      <c r="AA80" s="21"/>
      <c r="AB80" s="21"/>
      <c r="AC80" s="21">
        <f t="shared" si="9"/>
        <v>2.5</v>
      </c>
      <c r="AD80" s="21"/>
      <c r="AE80" s="21"/>
      <c r="AF80" s="21"/>
      <c r="AG80" s="21">
        <f t="shared" si="10"/>
        <v>0</v>
      </c>
      <c r="AH80" s="21">
        <f t="shared" si="11"/>
        <v>0</v>
      </c>
    </row>
    <row r="81" spans="1:34" ht="21.6" x14ac:dyDescent="0.3">
      <c r="A81" s="24" t="s">
        <v>80</v>
      </c>
      <c r="B81" s="2" t="s">
        <v>101</v>
      </c>
      <c r="C81" s="21"/>
      <c r="D81" s="2">
        <v>2.75</v>
      </c>
      <c r="E81" s="21"/>
      <c r="F81" s="21"/>
      <c r="G81" s="21">
        <f t="shared" si="6"/>
        <v>2.75</v>
      </c>
      <c r="H81" s="21"/>
      <c r="I81" s="21"/>
      <c r="J81" s="21"/>
      <c r="K81" s="21">
        <f t="shared" si="7"/>
        <v>0</v>
      </c>
      <c r="L81" s="21">
        <f t="shared" si="8"/>
        <v>0</v>
      </c>
      <c r="W81" s="24" t="s">
        <v>80</v>
      </c>
      <c r="X81" s="2" t="s">
        <v>101</v>
      </c>
      <c r="Y81" s="21"/>
      <c r="Z81" s="2">
        <v>2.75</v>
      </c>
      <c r="AA81" s="21"/>
      <c r="AB81" s="21"/>
      <c r="AC81" s="21">
        <f t="shared" si="9"/>
        <v>2.75</v>
      </c>
      <c r="AD81" s="21"/>
      <c r="AE81" s="21"/>
      <c r="AF81" s="21"/>
      <c r="AG81" s="21">
        <f t="shared" si="10"/>
        <v>0</v>
      </c>
      <c r="AH81" s="21">
        <f t="shared" si="11"/>
        <v>0</v>
      </c>
    </row>
    <row r="82" spans="1:34" ht="21.6" x14ac:dyDescent="0.3">
      <c r="A82" s="24" t="s">
        <v>81</v>
      </c>
      <c r="B82" s="2" t="s">
        <v>101</v>
      </c>
      <c r="C82" s="21"/>
      <c r="D82" s="2">
        <v>3.5</v>
      </c>
      <c r="E82" s="21"/>
      <c r="F82" s="21"/>
      <c r="G82" s="21">
        <f t="shared" si="6"/>
        <v>3.5</v>
      </c>
      <c r="H82" s="21"/>
      <c r="I82" s="21"/>
      <c r="J82" s="21"/>
      <c r="K82" s="21">
        <f t="shared" si="7"/>
        <v>0</v>
      </c>
      <c r="L82" s="21">
        <f t="shared" si="8"/>
        <v>0</v>
      </c>
      <c r="W82" s="24" t="s">
        <v>81</v>
      </c>
      <c r="X82" s="2" t="s">
        <v>101</v>
      </c>
      <c r="Y82" s="21"/>
      <c r="Z82" s="2">
        <v>3.5</v>
      </c>
      <c r="AA82" s="21"/>
      <c r="AB82" s="21"/>
      <c r="AC82" s="21">
        <f t="shared" si="9"/>
        <v>3.5</v>
      </c>
      <c r="AD82" s="21"/>
      <c r="AE82" s="21"/>
      <c r="AF82" s="21"/>
      <c r="AG82" s="21">
        <f t="shared" si="10"/>
        <v>0</v>
      </c>
      <c r="AH82" s="21">
        <f t="shared" si="11"/>
        <v>0</v>
      </c>
    </row>
    <row r="83" spans="1:34" ht="21.6" x14ac:dyDescent="0.3">
      <c r="A83" s="24" t="s">
        <v>82</v>
      </c>
      <c r="B83" s="2" t="s">
        <v>101</v>
      </c>
      <c r="C83" s="21"/>
      <c r="D83" s="2">
        <v>3</v>
      </c>
      <c r="E83" s="21"/>
      <c r="F83" s="21"/>
      <c r="G83" s="21">
        <f t="shared" si="6"/>
        <v>3</v>
      </c>
      <c r="H83" s="21"/>
      <c r="I83" s="21"/>
      <c r="J83" s="21"/>
      <c r="K83" s="21">
        <f t="shared" si="7"/>
        <v>0</v>
      </c>
      <c r="L83" s="21">
        <f t="shared" si="8"/>
        <v>0</v>
      </c>
      <c r="W83" s="24" t="s">
        <v>82</v>
      </c>
      <c r="X83" s="2" t="s">
        <v>101</v>
      </c>
      <c r="Y83" s="21"/>
      <c r="Z83" s="2">
        <v>3</v>
      </c>
      <c r="AA83" s="21"/>
      <c r="AB83" s="21"/>
      <c r="AC83" s="21">
        <f t="shared" si="9"/>
        <v>3</v>
      </c>
      <c r="AD83" s="21"/>
      <c r="AE83" s="21"/>
      <c r="AF83" s="21"/>
      <c r="AG83" s="21">
        <f t="shared" si="10"/>
        <v>0</v>
      </c>
      <c r="AH83" s="21">
        <f t="shared" si="11"/>
        <v>0</v>
      </c>
    </row>
    <row r="84" spans="1:34" ht="21.6" x14ac:dyDescent="0.3">
      <c r="A84" s="24" t="s">
        <v>83</v>
      </c>
      <c r="B84" s="2" t="s">
        <v>102</v>
      </c>
      <c r="C84" s="21"/>
      <c r="D84" s="2">
        <v>0.8</v>
      </c>
      <c r="E84" s="21"/>
      <c r="F84" s="21"/>
      <c r="G84" s="21">
        <f t="shared" si="6"/>
        <v>0.8</v>
      </c>
      <c r="H84" s="21"/>
      <c r="I84" s="21"/>
      <c r="J84" s="21"/>
      <c r="K84" s="21">
        <f t="shared" si="7"/>
        <v>0</v>
      </c>
      <c r="L84" s="21">
        <f t="shared" si="8"/>
        <v>0</v>
      </c>
      <c r="W84" s="24" t="s">
        <v>83</v>
      </c>
      <c r="X84" s="2" t="s">
        <v>102</v>
      </c>
      <c r="Y84" s="21"/>
      <c r="Z84" s="2">
        <v>0.8</v>
      </c>
      <c r="AA84" s="21"/>
      <c r="AB84" s="21"/>
      <c r="AC84" s="21">
        <f t="shared" si="9"/>
        <v>0.8</v>
      </c>
      <c r="AD84" s="21"/>
      <c r="AE84" s="21"/>
      <c r="AF84" s="21"/>
      <c r="AG84" s="21">
        <f t="shared" si="10"/>
        <v>0</v>
      </c>
      <c r="AH84" s="21">
        <f t="shared" si="11"/>
        <v>0</v>
      </c>
    </row>
    <row r="85" spans="1:34" ht="43.2" x14ac:dyDescent="0.3">
      <c r="A85" s="24" t="s">
        <v>84</v>
      </c>
      <c r="B85" s="2" t="s">
        <v>103</v>
      </c>
      <c r="C85" s="21"/>
      <c r="D85" s="2">
        <v>2.5</v>
      </c>
      <c r="E85" s="21"/>
      <c r="F85" s="21"/>
      <c r="G85" s="21">
        <f t="shared" si="6"/>
        <v>2.5</v>
      </c>
      <c r="H85" s="21"/>
      <c r="I85" s="21"/>
      <c r="J85" s="21"/>
      <c r="K85" s="21">
        <f t="shared" si="7"/>
        <v>0</v>
      </c>
      <c r="L85" s="21">
        <f t="shared" si="8"/>
        <v>0</v>
      </c>
      <c r="W85" s="24" t="s">
        <v>84</v>
      </c>
      <c r="X85" s="2" t="s">
        <v>103</v>
      </c>
      <c r="Y85" s="21"/>
      <c r="Z85" s="2">
        <v>2.5</v>
      </c>
      <c r="AA85" s="21"/>
      <c r="AB85" s="21"/>
      <c r="AC85" s="21">
        <f t="shared" si="9"/>
        <v>2.5</v>
      </c>
      <c r="AD85" s="21"/>
      <c r="AE85" s="21"/>
      <c r="AF85" s="21"/>
      <c r="AG85" s="21">
        <f t="shared" si="10"/>
        <v>0</v>
      </c>
      <c r="AH85" s="21">
        <f t="shared" si="11"/>
        <v>0</v>
      </c>
    </row>
    <row r="86" spans="1:34" ht="43.2" x14ac:dyDescent="0.3">
      <c r="A86" s="24" t="s">
        <v>85</v>
      </c>
      <c r="B86" s="2" t="s">
        <v>103</v>
      </c>
      <c r="C86" s="21"/>
      <c r="D86" s="2">
        <v>3</v>
      </c>
      <c r="E86" s="21"/>
      <c r="F86" s="21"/>
      <c r="G86" s="21">
        <f t="shared" si="6"/>
        <v>3</v>
      </c>
      <c r="H86" s="21"/>
      <c r="I86" s="21"/>
      <c r="J86" s="21"/>
      <c r="K86" s="21">
        <f t="shared" si="7"/>
        <v>0</v>
      </c>
      <c r="L86" s="21">
        <f t="shared" si="8"/>
        <v>0</v>
      </c>
      <c r="W86" s="24" t="s">
        <v>85</v>
      </c>
      <c r="X86" s="2" t="s">
        <v>103</v>
      </c>
      <c r="Y86" s="21"/>
      <c r="Z86" s="2">
        <v>3</v>
      </c>
      <c r="AA86" s="21"/>
      <c r="AB86" s="21"/>
      <c r="AC86" s="21">
        <f t="shared" si="9"/>
        <v>3</v>
      </c>
      <c r="AD86" s="21"/>
      <c r="AE86" s="21"/>
      <c r="AF86" s="21"/>
      <c r="AG86" s="21">
        <f t="shared" si="10"/>
        <v>0</v>
      </c>
      <c r="AH86" s="21">
        <f t="shared" si="11"/>
        <v>0</v>
      </c>
    </row>
    <row r="87" spans="1:34" ht="54" x14ac:dyDescent="0.3">
      <c r="A87" s="24" t="s">
        <v>86</v>
      </c>
      <c r="B87" s="2" t="s">
        <v>104</v>
      </c>
      <c r="C87" s="21"/>
      <c r="D87" s="2">
        <v>0.5</v>
      </c>
      <c r="E87" s="21"/>
      <c r="F87" s="21"/>
      <c r="G87" s="21">
        <f t="shared" si="6"/>
        <v>0.5</v>
      </c>
      <c r="H87" s="21"/>
      <c r="I87" s="21"/>
      <c r="J87" s="21"/>
      <c r="K87" s="21">
        <f t="shared" si="7"/>
        <v>0</v>
      </c>
      <c r="L87" s="21">
        <f t="shared" si="8"/>
        <v>0</v>
      </c>
      <c r="W87" s="24" t="s">
        <v>86</v>
      </c>
      <c r="X87" s="2" t="s">
        <v>104</v>
      </c>
      <c r="Y87" s="21"/>
      <c r="Z87" s="2">
        <v>0.5</v>
      </c>
      <c r="AA87" s="21"/>
      <c r="AB87" s="21"/>
      <c r="AC87" s="21">
        <f t="shared" si="9"/>
        <v>0.5</v>
      </c>
      <c r="AD87" s="21"/>
      <c r="AE87" s="21"/>
      <c r="AF87" s="21"/>
      <c r="AG87" s="21">
        <f t="shared" si="10"/>
        <v>0</v>
      </c>
      <c r="AH87" s="21">
        <f t="shared" si="11"/>
        <v>0</v>
      </c>
    </row>
    <row r="88" spans="1:34" x14ac:dyDescent="0.3">
      <c r="A88" s="17" t="s">
        <v>107</v>
      </c>
      <c r="B88" s="17"/>
      <c r="C88" s="17"/>
      <c r="D88" s="17"/>
      <c r="E88" s="17"/>
      <c r="F88" s="17"/>
      <c r="G88" s="17"/>
      <c r="H88" s="17"/>
      <c r="I88" s="17"/>
      <c r="J88" s="17"/>
      <c r="K88" s="17"/>
      <c r="L88" s="17"/>
      <c r="W88" s="17" t="s">
        <v>107</v>
      </c>
      <c r="X88" s="17"/>
      <c r="Y88" s="17"/>
      <c r="Z88" s="17"/>
      <c r="AA88" s="17"/>
      <c r="AB88" s="17"/>
      <c r="AC88" s="17"/>
      <c r="AD88" s="17"/>
      <c r="AE88" s="17"/>
      <c r="AF88" s="17"/>
      <c r="AG88" s="17"/>
      <c r="AH88" s="17"/>
    </row>
    <row r="89" spans="1:34" ht="21.6" x14ac:dyDescent="0.3">
      <c r="A89" s="27" t="s">
        <v>108</v>
      </c>
      <c r="B89" s="2" t="s">
        <v>116</v>
      </c>
      <c r="C89" s="21"/>
      <c r="D89" s="2">
        <v>3</v>
      </c>
      <c r="E89" s="21"/>
      <c r="F89" s="21"/>
      <c r="G89" s="21">
        <f>PRODUCT(C89:F89)</f>
        <v>3</v>
      </c>
      <c r="H89" s="21"/>
      <c r="I89" s="21"/>
      <c r="J89" s="21"/>
      <c r="K89" s="21">
        <f>PRODUCT(H89:J89)</f>
        <v>0</v>
      </c>
      <c r="L89" s="21">
        <f>PRODUCT(G89,K89)</f>
        <v>0</v>
      </c>
      <c r="W89" s="27" t="s">
        <v>108</v>
      </c>
      <c r="X89" s="2" t="s">
        <v>116</v>
      </c>
      <c r="Y89" s="21"/>
      <c r="Z89" s="2">
        <v>3</v>
      </c>
      <c r="AA89" s="21"/>
      <c r="AB89" s="21"/>
      <c r="AC89" s="21">
        <f>PRODUCT(Y89:AB89)</f>
        <v>3</v>
      </c>
      <c r="AD89" s="21"/>
      <c r="AE89" s="21"/>
      <c r="AF89" s="21"/>
      <c r="AG89" s="21">
        <f>PRODUCT(AD89:AF89)</f>
        <v>0</v>
      </c>
      <c r="AH89" s="21">
        <f>PRODUCT(AC89,AG89)</f>
        <v>0</v>
      </c>
    </row>
    <row r="90" spans="1:34" ht="21.6" x14ac:dyDescent="0.3">
      <c r="A90" s="27" t="s">
        <v>109</v>
      </c>
      <c r="B90" s="2" t="s">
        <v>117</v>
      </c>
      <c r="C90" s="21"/>
      <c r="D90" s="2">
        <v>4</v>
      </c>
      <c r="E90" s="21"/>
      <c r="F90" s="21"/>
      <c r="G90" s="21">
        <f t="shared" ref="G90:G97" si="12">PRODUCT(C90:F90)</f>
        <v>4</v>
      </c>
      <c r="H90" s="21"/>
      <c r="I90" s="21"/>
      <c r="J90" s="21"/>
      <c r="K90" s="21">
        <f t="shared" ref="K90:K97" si="13">PRODUCT(H90:J90)</f>
        <v>0</v>
      </c>
      <c r="L90" s="21">
        <f t="shared" ref="L90:L97" si="14">PRODUCT(G90,K90)</f>
        <v>0</v>
      </c>
      <c r="W90" s="27" t="s">
        <v>109</v>
      </c>
      <c r="X90" s="2" t="s">
        <v>117</v>
      </c>
      <c r="Y90" s="21"/>
      <c r="Z90" s="2">
        <v>4</v>
      </c>
      <c r="AA90" s="21"/>
      <c r="AB90" s="21"/>
      <c r="AC90" s="21">
        <f t="shared" ref="AC90:AC97" si="15">PRODUCT(Y90:AB90)</f>
        <v>4</v>
      </c>
      <c r="AD90" s="21"/>
      <c r="AE90" s="21"/>
      <c r="AF90" s="21"/>
      <c r="AG90" s="21">
        <f t="shared" ref="AG90:AG97" si="16">PRODUCT(AD90:AF90)</f>
        <v>0</v>
      </c>
      <c r="AH90" s="21">
        <f t="shared" ref="AH90:AH97" si="17">PRODUCT(AC90,AG90)</f>
        <v>0</v>
      </c>
    </row>
    <row r="91" spans="1:34" ht="21.6" x14ac:dyDescent="0.3">
      <c r="A91" s="27" t="s">
        <v>110</v>
      </c>
      <c r="B91" s="2" t="s">
        <v>118</v>
      </c>
      <c r="C91" s="21"/>
      <c r="D91" s="2">
        <v>2</v>
      </c>
      <c r="E91" s="21"/>
      <c r="F91" s="21"/>
      <c r="G91" s="21">
        <f t="shared" si="12"/>
        <v>2</v>
      </c>
      <c r="H91" s="21"/>
      <c r="I91" s="21"/>
      <c r="J91" s="21"/>
      <c r="K91" s="21">
        <f t="shared" si="13"/>
        <v>0</v>
      </c>
      <c r="L91" s="21">
        <f t="shared" si="14"/>
        <v>0</v>
      </c>
      <c r="W91" s="27" t="s">
        <v>110</v>
      </c>
      <c r="X91" s="2" t="s">
        <v>118</v>
      </c>
      <c r="Y91" s="21"/>
      <c r="Z91" s="2">
        <v>2</v>
      </c>
      <c r="AA91" s="21"/>
      <c r="AB91" s="21"/>
      <c r="AC91" s="21">
        <f t="shared" si="15"/>
        <v>2</v>
      </c>
      <c r="AD91" s="21"/>
      <c r="AE91" s="21"/>
      <c r="AF91" s="21"/>
      <c r="AG91" s="21">
        <f t="shared" si="16"/>
        <v>0</v>
      </c>
      <c r="AH91" s="21">
        <f t="shared" si="17"/>
        <v>0</v>
      </c>
    </row>
    <row r="92" spans="1:34" ht="21.6" x14ac:dyDescent="0.3">
      <c r="A92" s="27" t="s">
        <v>111</v>
      </c>
      <c r="B92" s="2" t="s">
        <v>118</v>
      </c>
      <c r="C92" s="21"/>
      <c r="D92" s="2">
        <v>2</v>
      </c>
      <c r="E92" s="21"/>
      <c r="F92" s="21"/>
      <c r="G92" s="21">
        <f t="shared" si="12"/>
        <v>2</v>
      </c>
      <c r="H92" s="21"/>
      <c r="I92" s="21"/>
      <c r="J92" s="21"/>
      <c r="K92" s="21">
        <f t="shared" si="13"/>
        <v>0</v>
      </c>
      <c r="L92" s="21">
        <f t="shared" si="14"/>
        <v>0</v>
      </c>
      <c r="W92" s="27" t="s">
        <v>111</v>
      </c>
      <c r="X92" s="2" t="s">
        <v>118</v>
      </c>
      <c r="Y92" s="21"/>
      <c r="Z92" s="2">
        <v>2</v>
      </c>
      <c r="AA92" s="21"/>
      <c r="AB92" s="21"/>
      <c r="AC92" s="21">
        <f t="shared" si="15"/>
        <v>2</v>
      </c>
      <c r="AD92" s="21"/>
      <c r="AE92" s="21"/>
      <c r="AF92" s="21"/>
      <c r="AG92" s="21">
        <f t="shared" si="16"/>
        <v>0</v>
      </c>
      <c r="AH92" s="21">
        <f t="shared" si="17"/>
        <v>0</v>
      </c>
    </row>
    <row r="93" spans="1:34" ht="21.6" x14ac:dyDescent="0.3">
      <c r="A93" s="27" t="s">
        <v>112</v>
      </c>
      <c r="B93" s="2" t="s">
        <v>118</v>
      </c>
      <c r="C93" s="21"/>
      <c r="D93" s="2">
        <v>1</v>
      </c>
      <c r="E93" s="21"/>
      <c r="F93" s="21"/>
      <c r="G93" s="21">
        <f t="shared" si="12"/>
        <v>1</v>
      </c>
      <c r="H93" s="21"/>
      <c r="I93" s="21"/>
      <c r="J93" s="21"/>
      <c r="K93" s="21">
        <f t="shared" si="13"/>
        <v>0</v>
      </c>
      <c r="L93" s="21">
        <f t="shared" si="14"/>
        <v>0</v>
      </c>
      <c r="W93" s="27" t="s">
        <v>112</v>
      </c>
      <c r="X93" s="2" t="s">
        <v>118</v>
      </c>
      <c r="Y93" s="21"/>
      <c r="Z93" s="2">
        <v>1</v>
      </c>
      <c r="AA93" s="21"/>
      <c r="AB93" s="21"/>
      <c r="AC93" s="21">
        <f t="shared" si="15"/>
        <v>1</v>
      </c>
      <c r="AD93" s="21"/>
      <c r="AE93" s="21"/>
      <c r="AF93" s="21"/>
      <c r="AG93" s="21">
        <f t="shared" si="16"/>
        <v>0</v>
      </c>
      <c r="AH93" s="21">
        <f t="shared" si="17"/>
        <v>0</v>
      </c>
    </row>
    <row r="94" spans="1:34" ht="21.6" x14ac:dyDescent="0.3">
      <c r="A94" s="27" t="s">
        <v>113</v>
      </c>
      <c r="B94" s="2" t="s">
        <v>118</v>
      </c>
      <c r="C94" s="21"/>
      <c r="D94" s="2">
        <v>1.5</v>
      </c>
      <c r="E94" s="21"/>
      <c r="F94" s="21"/>
      <c r="G94" s="21">
        <f t="shared" si="12"/>
        <v>1.5</v>
      </c>
      <c r="H94" s="21"/>
      <c r="I94" s="21"/>
      <c r="J94" s="21"/>
      <c r="K94" s="21">
        <f t="shared" si="13"/>
        <v>0</v>
      </c>
      <c r="L94" s="21">
        <f t="shared" si="14"/>
        <v>0</v>
      </c>
      <c r="W94" s="27" t="s">
        <v>113</v>
      </c>
      <c r="X94" s="2" t="s">
        <v>118</v>
      </c>
      <c r="Y94" s="21"/>
      <c r="Z94" s="2">
        <v>1.5</v>
      </c>
      <c r="AA94" s="21"/>
      <c r="AB94" s="21"/>
      <c r="AC94" s="21">
        <f t="shared" si="15"/>
        <v>1.5</v>
      </c>
      <c r="AD94" s="21"/>
      <c r="AE94" s="21"/>
      <c r="AF94" s="21"/>
      <c r="AG94" s="21">
        <f t="shared" si="16"/>
        <v>0</v>
      </c>
      <c r="AH94" s="21">
        <f t="shared" si="17"/>
        <v>0</v>
      </c>
    </row>
    <row r="95" spans="1:34" x14ac:dyDescent="0.3">
      <c r="A95" s="27" t="s">
        <v>114</v>
      </c>
      <c r="B95" s="2" t="s">
        <v>119</v>
      </c>
      <c r="C95" s="21"/>
      <c r="D95" s="2">
        <v>1</v>
      </c>
      <c r="E95" s="21"/>
      <c r="F95" s="21"/>
      <c r="G95" s="21">
        <f t="shared" si="12"/>
        <v>1</v>
      </c>
      <c r="H95" s="21"/>
      <c r="I95" s="21"/>
      <c r="J95" s="21"/>
      <c r="K95" s="21">
        <f t="shared" si="13"/>
        <v>0</v>
      </c>
      <c r="L95" s="21">
        <f t="shared" si="14"/>
        <v>0</v>
      </c>
      <c r="W95" s="27" t="s">
        <v>114</v>
      </c>
      <c r="X95" s="2" t="s">
        <v>119</v>
      </c>
      <c r="Y95" s="21"/>
      <c r="Z95" s="2">
        <v>1</v>
      </c>
      <c r="AA95" s="21"/>
      <c r="AB95" s="21"/>
      <c r="AC95" s="21">
        <f t="shared" si="15"/>
        <v>1</v>
      </c>
      <c r="AD95" s="21"/>
      <c r="AE95" s="21"/>
      <c r="AF95" s="21"/>
      <c r="AG95" s="21">
        <f t="shared" si="16"/>
        <v>0</v>
      </c>
      <c r="AH95" s="21">
        <f t="shared" si="17"/>
        <v>0</v>
      </c>
    </row>
    <row r="96" spans="1:34" x14ac:dyDescent="0.3">
      <c r="A96" s="27" t="s">
        <v>114</v>
      </c>
      <c r="B96" s="2" t="s">
        <v>120</v>
      </c>
      <c r="C96" s="21"/>
      <c r="D96" s="2">
        <v>0.5</v>
      </c>
      <c r="E96" s="21"/>
      <c r="F96" s="21"/>
      <c r="G96" s="21">
        <f t="shared" si="12"/>
        <v>0.5</v>
      </c>
      <c r="H96" s="21"/>
      <c r="I96" s="21"/>
      <c r="J96" s="21"/>
      <c r="K96" s="21">
        <f t="shared" si="13"/>
        <v>0</v>
      </c>
      <c r="L96" s="21">
        <f t="shared" si="14"/>
        <v>0</v>
      </c>
      <c r="W96" s="27" t="s">
        <v>114</v>
      </c>
      <c r="X96" s="2" t="s">
        <v>120</v>
      </c>
      <c r="Y96" s="21"/>
      <c r="Z96" s="2">
        <v>0.5</v>
      </c>
      <c r="AA96" s="21"/>
      <c r="AB96" s="21"/>
      <c r="AC96" s="21">
        <f t="shared" si="15"/>
        <v>0.5</v>
      </c>
      <c r="AD96" s="21"/>
      <c r="AE96" s="21"/>
      <c r="AF96" s="21"/>
      <c r="AG96" s="21">
        <f t="shared" si="16"/>
        <v>0</v>
      </c>
      <c r="AH96" s="21">
        <f t="shared" si="17"/>
        <v>0</v>
      </c>
    </row>
    <row r="97" spans="1:34" x14ac:dyDescent="0.3">
      <c r="A97" s="27" t="s">
        <v>115</v>
      </c>
      <c r="B97" s="2" t="s">
        <v>121</v>
      </c>
      <c r="C97" s="21"/>
      <c r="D97" s="2">
        <v>1</v>
      </c>
      <c r="E97" s="21"/>
      <c r="F97" s="21"/>
      <c r="G97" s="21">
        <f t="shared" si="12"/>
        <v>1</v>
      </c>
      <c r="H97" s="21"/>
      <c r="I97" s="21"/>
      <c r="J97" s="21"/>
      <c r="K97" s="21">
        <f t="shared" si="13"/>
        <v>0</v>
      </c>
      <c r="L97" s="21">
        <f t="shared" si="14"/>
        <v>0</v>
      </c>
      <c r="W97" s="27" t="s">
        <v>115</v>
      </c>
      <c r="X97" s="2" t="s">
        <v>121</v>
      </c>
      <c r="Y97" s="21"/>
      <c r="Z97" s="2">
        <v>1</v>
      </c>
      <c r="AA97" s="21"/>
      <c r="AB97" s="21"/>
      <c r="AC97" s="21">
        <f t="shared" si="15"/>
        <v>1</v>
      </c>
      <c r="AD97" s="21"/>
      <c r="AE97" s="21"/>
      <c r="AF97" s="21"/>
      <c r="AG97" s="21">
        <f t="shared" si="16"/>
        <v>0</v>
      </c>
      <c r="AH97" s="21">
        <f t="shared" si="17"/>
        <v>0</v>
      </c>
    </row>
    <row r="98" spans="1:34" x14ac:dyDescent="0.3">
      <c r="A98" s="18" t="s">
        <v>122</v>
      </c>
      <c r="B98" s="18"/>
      <c r="C98" s="18"/>
      <c r="D98" s="18"/>
      <c r="E98" s="18"/>
      <c r="F98" s="18"/>
      <c r="G98" s="18"/>
      <c r="H98" s="18"/>
      <c r="I98" s="18"/>
      <c r="J98" s="18"/>
      <c r="K98" s="18"/>
      <c r="L98" s="18"/>
      <c r="W98" s="18" t="s">
        <v>122</v>
      </c>
      <c r="X98" s="18"/>
      <c r="Y98" s="18"/>
      <c r="Z98" s="18"/>
      <c r="AA98" s="18"/>
      <c r="AB98" s="18"/>
      <c r="AC98" s="18"/>
      <c r="AD98" s="18"/>
      <c r="AE98" s="18"/>
      <c r="AF98" s="18"/>
      <c r="AG98" s="18"/>
      <c r="AH98" s="18"/>
    </row>
    <row r="99" spans="1:34" ht="97.2" x14ac:dyDescent="0.3">
      <c r="A99" s="28" t="s">
        <v>123</v>
      </c>
      <c r="B99" s="2" t="s">
        <v>127</v>
      </c>
      <c r="C99" s="21"/>
      <c r="D99" s="2">
        <v>1.5</v>
      </c>
      <c r="E99" s="21"/>
      <c r="F99" s="21"/>
      <c r="G99" s="21">
        <f>PRODUCT(C99:F99)</f>
        <v>1.5</v>
      </c>
      <c r="H99" s="21"/>
      <c r="I99" s="21"/>
      <c r="J99" s="21"/>
      <c r="K99" s="21">
        <f>PRODUCT(H99:J99)</f>
        <v>0</v>
      </c>
      <c r="L99" s="21">
        <f>PRODUCT(G99,K99)</f>
        <v>0</v>
      </c>
      <c r="W99" s="28" t="s">
        <v>123</v>
      </c>
      <c r="X99" s="2" t="s">
        <v>127</v>
      </c>
      <c r="Y99" s="21"/>
      <c r="Z99" s="2">
        <v>1.5</v>
      </c>
      <c r="AA99" s="21"/>
      <c r="AB99" s="21"/>
      <c r="AC99" s="21">
        <f>PRODUCT(Y99:AB99)</f>
        <v>1.5</v>
      </c>
      <c r="AD99" s="21"/>
      <c r="AE99" s="21"/>
      <c r="AF99" s="21"/>
      <c r="AG99" s="21">
        <f>PRODUCT(AD99:AF99)</f>
        <v>0</v>
      </c>
      <c r="AH99" s="21">
        <f>PRODUCT(AC99,AG99)</f>
        <v>0</v>
      </c>
    </row>
    <row r="100" spans="1:34" ht="64.8" x14ac:dyDescent="0.3">
      <c r="A100" s="28" t="s">
        <v>124</v>
      </c>
      <c r="B100" s="2" t="s">
        <v>128</v>
      </c>
      <c r="C100" s="21"/>
      <c r="D100" s="2">
        <v>3</v>
      </c>
      <c r="E100" s="21"/>
      <c r="F100" s="21"/>
      <c r="G100" s="21">
        <f t="shared" ref="G100:G101" si="18">PRODUCT(C100:F100)</f>
        <v>3</v>
      </c>
      <c r="H100" s="21"/>
      <c r="I100" s="21"/>
      <c r="J100" s="21"/>
      <c r="K100" s="21">
        <f t="shared" ref="K100:K101" si="19">PRODUCT(H100:J100)</f>
        <v>0</v>
      </c>
      <c r="L100" s="21">
        <f t="shared" ref="L100:L101" si="20">PRODUCT(G100,K100)</f>
        <v>0</v>
      </c>
      <c r="W100" s="28" t="s">
        <v>124</v>
      </c>
      <c r="X100" s="2" t="s">
        <v>128</v>
      </c>
      <c r="Y100" s="21"/>
      <c r="Z100" s="2">
        <v>3</v>
      </c>
      <c r="AA100" s="21"/>
      <c r="AB100" s="21"/>
      <c r="AC100" s="21">
        <f t="shared" ref="AC100:AC101" si="21">PRODUCT(Y100:AB100)</f>
        <v>3</v>
      </c>
      <c r="AD100" s="21"/>
      <c r="AE100" s="21"/>
      <c r="AF100" s="21"/>
      <c r="AG100" s="21">
        <f t="shared" ref="AG100:AG101" si="22">PRODUCT(AD100:AF100)</f>
        <v>0</v>
      </c>
      <c r="AH100" s="21">
        <f t="shared" ref="AH100:AH101" si="23">PRODUCT(AC100,AG100)</f>
        <v>0</v>
      </c>
    </row>
    <row r="101" spans="1:34" ht="75.599999999999994" x14ac:dyDescent="0.3">
      <c r="A101" s="28" t="s">
        <v>125</v>
      </c>
      <c r="B101" s="2" t="s">
        <v>129</v>
      </c>
      <c r="C101" s="21"/>
      <c r="D101" s="2">
        <v>2.5</v>
      </c>
      <c r="E101" s="21"/>
      <c r="F101" s="21"/>
      <c r="G101" s="21">
        <f t="shared" si="18"/>
        <v>2.5</v>
      </c>
      <c r="H101" s="21"/>
      <c r="I101" s="21"/>
      <c r="J101" s="21"/>
      <c r="K101" s="21">
        <f t="shared" si="19"/>
        <v>0</v>
      </c>
      <c r="L101" s="21">
        <f t="shared" si="20"/>
        <v>0</v>
      </c>
      <c r="W101" s="28" t="s">
        <v>125</v>
      </c>
      <c r="X101" s="2" t="s">
        <v>129</v>
      </c>
      <c r="Y101" s="21"/>
      <c r="Z101" s="2">
        <v>2.5</v>
      </c>
      <c r="AA101" s="21"/>
      <c r="AB101" s="21"/>
      <c r="AC101" s="21">
        <f t="shared" si="21"/>
        <v>2.5</v>
      </c>
      <c r="AD101" s="21"/>
      <c r="AE101" s="21"/>
      <c r="AF101" s="21"/>
      <c r="AG101" s="21">
        <f t="shared" si="22"/>
        <v>0</v>
      </c>
      <c r="AH101" s="21">
        <f t="shared" si="23"/>
        <v>0</v>
      </c>
    </row>
    <row r="102" spans="1:34" x14ac:dyDescent="0.3">
      <c r="A102" s="19" t="s">
        <v>130</v>
      </c>
      <c r="B102" s="19"/>
      <c r="C102" s="19"/>
      <c r="D102" s="19"/>
      <c r="E102" s="19"/>
      <c r="F102" s="19"/>
      <c r="G102" s="19"/>
      <c r="H102" s="19"/>
      <c r="I102" s="19"/>
      <c r="J102" s="19"/>
      <c r="K102" s="19"/>
      <c r="L102" s="19"/>
      <c r="W102" s="19" t="s">
        <v>130</v>
      </c>
      <c r="X102" s="19"/>
      <c r="Y102" s="19"/>
      <c r="Z102" s="19"/>
      <c r="AA102" s="19"/>
      <c r="AB102" s="19"/>
      <c r="AC102" s="19"/>
      <c r="AD102" s="19"/>
      <c r="AE102" s="19"/>
      <c r="AF102" s="19"/>
      <c r="AG102" s="19"/>
      <c r="AH102" s="19"/>
    </row>
    <row r="103" spans="1:34" ht="15" thickBot="1" x14ac:dyDescent="0.35">
      <c r="A103" s="29" t="s">
        <v>131</v>
      </c>
      <c r="B103" s="23"/>
      <c r="C103" s="21"/>
      <c r="D103" s="2">
        <v>2</v>
      </c>
      <c r="E103" s="21"/>
      <c r="F103" s="21"/>
      <c r="G103" s="21">
        <f>PRODUCT(C103:F103)</f>
        <v>2</v>
      </c>
      <c r="H103" s="21"/>
      <c r="I103" s="21"/>
      <c r="J103" s="21"/>
      <c r="K103" s="21">
        <f>PRODUCT(H103:J103)</f>
        <v>0</v>
      </c>
      <c r="L103" s="21">
        <f>PRODUCT(G103,K103)</f>
        <v>0</v>
      </c>
      <c r="W103" s="29" t="s">
        <v>131</v>
      </c>
      <c r="X103" s="23"/>
      <c r="Y103" s="21"/>
      <c r="Z103" s="2">
        <v>2</v>
      </c>
      <c r="AA103" s="21"/>
      <c r="AB103" s="21"/>
      <c r="AC103" s="21">
        <f>PRODUCT(Y103:AB103)</f>
        <v>2</v>
      </c>
      <c r="AD103" s="21"/>
      <c r="AE103" s="21"/>
      <c r="AF103" s="21"/>
      <c r="AG103" s="21">
        <f>PRODUCT(AD103:AF103)</f>
        <v>0</v>
      </c>
      <c r="AH103" s="21">
        <f>PRODUCT(AC103,AG103)</f>
        <v>0</v>
      </c>
    </row>
    <row r="104" spans="1:34" ht="22.2" thickBot="1" x14ac:dyDescent="0.35">
      <c r="A104" s="29" t="s">
        <v>132</v>
      </c>
      <c r="B104" s="2" t="s">
        <v>126</v>
      </c>
      <c r="C104" s="21"/>
      <c r="D104" s="2">
        <v>1</v>
      </c>
      <c r="E104" s="21"/>
      <c r="F104" s="21"/>
      <c r="G104" s="21">
        <f t="shared" ref="G104:G105" si="24">PRODUCT(C104:F104)</f>
        <v>1</v>
      </c>
      <c r="H104" s="21"/>
      <c r="I104" s="21"/>
      <c r="J104" s="21"/>
      <c r="K104" s="21">
        <f t="shared" ref="K104:K105" si="25">PRODUCT(H104:J104)</f>
        <v>0</v>
      </c>
      <c r="L104" s="21">
        <f t="shared" ref="L104:L105" si="26">PRODUCT(G104,K104)</f>
        <v>0</v>
      </c>
      <c r="O104" s="132" t="s">
        <v>0</v>
      </c>
      <c r="P104" s="133"/>
      <c r="Q104" s="126" t="e">
        <f>(L106/AH106)</f>
        <v>#DIV/0!</v>
      </c>
      <c r="R104" s="127"/>
      <c r="S104" s="127"/>
      <c r="T104" s="128"/>
      <c r="W104" s="29" t="s">
        <v>132</v>
      </c>
      <c r="X104" s="2" t="s">
        <v>126</v>
      </c>
      <c r="Y104" s="21"/>
      <c r="Z104" s="2">
        <v>1</v>
      </c>
      <c r="AA104" s="21"/>
      <c r="AB104" s="21"/>
      <c r="AC104" s="21">
        <f t="shared" ref="AC104:AC105" si="27">PRODUCT(Y104:AB104)</f>
        <v>1</v>
      </c>
      <c r="AD104" s="21"/>
      <c r="AE104" s="21"/>
      <c r="AF104" s="21"/>
      <c r="AG104" s="21">
        <f t="shared" ref="AG104:AG105" si="28">PRODUCT(AD104:AF104)</f>
        <v>0</v>
      </c>
      <c r="AH104" s="21">
        <f t="shared" ref="AH104:AH105" si="29">PRODUCT(AC104,AG104)</f>
        <v>0</v>
      </c>
    </row>
    <row r="105" spans="1:34" ht="22.2" thickBot="1" x14ac:dyDescent="0.35">
      <c r="A105" s="105" t="s">
        <v>133</v>
      </c>
      <c r="B105" s="106" t="s">
        <v>126</v>
      </c>
      <c r="C105" s="107"/>
      <c r="D105" s="106">
        <v>1</v>
      </c>
      <c r="E105" s="107"/>
      <c r="F105" s="107"/>
      <c r="G105" s="107">
        <f t="shared" si="24"/>
        <v>1</v>
      </c>
      <c r="H105" s="107"/>
      <c r="I105" s="107"/>
      <c r="J105" s="107"/>
      <c r="K105" s="107">
        <f t="shared" si="25"/>
        <v>0</v>
      </c>
      <c r="L105" s="21">
        <f t="shared" si="26"/>
        <v>0</v>
      </c>
      <c r="Q105" s="124" t="e">
        <f>(AH106/L106)</f>
        <v>#DIV/0!</v>
      </c>
      <c r="R105" s="112"/>
      <c r="S105" s="112"/>
      <c r="T105" s="125"/>
      <c r="W105" s="105" t="s">
        <v>133</v>
      </c>
      <c r="X105" s="106" t="s">
        <v>126</v>
      </c>
      <c r="Y105" s="107"/>
      <c r="Z105" s="106">
        <v>1</v>
      </c>
      <c r="AA105" s="107"/>
      <c r="AB105" s="107"/>
      <c r="AC105" s="107">
        <f t="shared" si="27"/>
        <v>1</v>
      </c>
      <c r="AD105" s="107"/>
      <c r="AE105" s="107"/>
      <c r="AF105" s="107"/>
      <c r="AG105" s="21">
        <f t="shared" si="28"/>
        <v>0</v>
      </c>
      <c r="AH105" s="21">
        <f>PRODUCT(AC105,AG105)</f>
        <v>0</v>
      </c>
    </row>
    <row r="106" spans="1:34" ht="16.2" thickBot="1" x14ac:dyDescent="0.35">
      <c r="A106" s="108" t="s">
        <v>208</v>
      </c>
      <c r="B106" s="109"/>
      <c r="C106" s="109"/>
      <c r="D106" s="109"/>
      <c r="E106" s="109"/>
      <c r="F106" s="109"/>
      <c r="G106" s="109"/>
      <c r="H106" s="109"/>
      <c r="I106" s="109"/>
      <c r="J106" s="109"/>
      <c r="K106" s="109"/>
      <c r="L106" s="110">
        <f>SUM(L103:L105,L99:L101,L99,L99,L89:L97,L41:L87,L7:L39)</f>
        <v>0</v>
      </c>
      <c r="Q106" s="129" t="e">
        <f>IF(Q104&gt;1,"PCR a favor de AZULES","PCR a favor de COLORADOS")</f>
        <v>#DIV/0!</v>
      </c>
      <c r="R106" s="130"/>
      <c r="S106" s="130"/>
      <c r="T106" s="131"/>
      <c r="W106" s="111" t="s">
        <v>208</v>
      </c>
      <c r="X106" s="112"/>
      <c r="Y106" s="112"/>
      <c r="Z106" s="112"/>
      <c r="AA106" s="112"/>
      <c r="AB106" s="112"/>
      <c r="AC106" s="112"/>
      <c r="AD106" s="112"/>
      <c r="AE106" s="112"/>
      <c r="AF106" s="112"/>
      <c r="AG106" s="113"/>
      <c r="AH106" s="114">
        <f>SUM(AH103:AH105,AH99:AH101,AH89:AH97,AH89,AH89,AH41:AH87,AH41,AH41,AH7:AH39)</f>
        <v>0</v>
      </c>
    </row>
  </sheetData>
  <mergeCells count="94">
    <mergeCell ref="A106:K106"/>
    <mergeCell ref="W106:AG106"/>
    <mergeCell ref="N68:U75"/>
    <mergeCell ref="O104:P104"/>
    <mergeCell ref="Q104:T104"/>
    <mergeCell ref="Q105:T105"/>
    <mergeCell ref="Q106:T106"/>
    <mergeCell ref="N24:T24"/>
    <mergeCell ref="N23:T23"/>
    <mergeCell ref="N22:U22"/>
    <mergeCell ref="N9:U9"/>
    <mergeCell ref="N10:T10"/>
    <mergeCell ref="N11:T11"/>
    <mergeCell ref="N13:U13"/>
    <mergeCell ref="N14:U14"/>
    <mergeCell ref="N15:U15"/>
    <mergeCell ref="N12:T12"/>
    <mergeCell ref="N16:U16"/>
    <mergeCell ref="N17:U17"/>
    <mergeCell ref="N18:U18"/>
    <mergeCell ref="N19:U20"/>
    <mergeCell ref="N44:T44"/>
    <mergeCell ref="N45:T45"/>
    <mergeCell ref="N46:T46"/>
    <mergeCell ref="N36:U37"/>
    <mergeCell ref="N35:U35"/>
    <mergeCell ref="N40:U40"/>
    <mergeCell ref="N39:U39"/>
    <mergeCell ref="N41:T41"/>
    <mergeCell ref="N42:T42"/>
    <mergeCell ref="N43:T43"/>
    <mergeCell ref="N58:N59"/>
    <mergeCell ref="U56:U59"/>
    <mergeCell ref="T56:T59"/>
    <mergeCell ref="S56:S59"/>
    <mergeCell ref="R56:R59"/>
    <mergeCell ref="Q56:Q59"/>
    <mergeCell ref="P56:P59"/>
    <mergeCell ref="O56:O59"/>
    <mergeCell ref="W102:AH102"/>
    <mergeCell ref="N48:U48"/>
    <mergeCell ref="N49:U51"/>
    <mergeCell ref="N56:N57"/>
    <mergeCell ref="Z6:AC6"/>
    <mergeCell ref="AD6:AH6"/>
    <mergeCell ref="W40:AH40"/>
    <mergeCell ref="W88:AH88"/>
    <mergeCell ref="W98:AH98"/>
    <mergeCell ref="W1:AH1"/>
    <mergeCell ref="W2:AH2"/>
    <mergeCell ref="W3:W5"/>
    <mergeCell ref="X3:X5"/>
    <mergeCell ref="Y3:Y5"/>
    <mergeCell ref="Z3:AG3"/>
    <mergeCell ref="AH3:AH5"/>
    <mergeCell ref="Z4:Z5"/>
    <mergeCell ref="AA4:AA5"/>
    <mergeCell ref="AB4:AB5"/>
    <mergeCell ref="AC4:AC5"/>
    <mergeCell ref="AD4:AG4"/>
    <mergeCell ref="W6:Y6"/>
    <mergeCell ref="U31:U34"/>
    <mergeCell ref="N31:T34"/>
    <mergeCell ref="N30:T30"/>
    <mergeCell ref="N29:T29"/>
    <mergeCell ref="N28:U28"/>
    <mergeCell ref="N27:U27"/>
    <mergeCell ref="N26:T26"/>
    <mergeCell ref="N25:T25"/>
    <mergeCell ref="N7:T7"/>
    <mergeCell ref="N6:T6"/>
    <mergeCell ref="N5:T5"/>
    <mergeCell ref="N4:T4"/>
    <mergeCell ref="N3:T3"/>
    <mergeCell ref="N2:U2"/>
    <mergeCell ref="A88:L88"/>
    <mergeCell ref="A98:L98"/>
    <mergeCell ref="A102:L102"/>
    <mergeCell ref="D6:G6"/>
    <mergeCell ref="H6:L6"/>
    <mergeCell ref="A6:C6"/>
    <mergeCell ref="A40:L40"/>
    <mergeCell ref="L3:L5"/>
    <mergeCell ref="A3:A5"/>
    <mergeCell ref="C3:C5"/>
    <mergeCell ref="A2:L2"/>
    <mergeCell ref="A1:L1"/>
    <mergeCell ref="D3:K3"/>
    <mergeCell ref="D4:D5"/>
    <mergeCell ref="E4:E5"/>
    <mergeCell ref="F4:F5"/>
    <mergeCell ref="G4:G5"/>
    <mergeCell ref="H4:K4"/>
    <mergeCell ref="B3:B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8.88671875"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8.88671875"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2025-10-25T11:03:46Z</dcterms:modified>
</cp:coreProperties>
</file>